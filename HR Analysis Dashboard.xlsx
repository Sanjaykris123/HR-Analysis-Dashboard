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min\Desktop\HR Analysis Dashboard\"/>
    </mc:Choice>
  </mc:AlternateContent>
  <xr:revisionPtr revIDLastSave="0" documentId="13_ncr:1_{2E80A47B-8D7F-47A3-BF8D-599C8C192458}" xr6:coauthVersionLast="47" xr6:coauthVersionMax="47" xr10:uidLastSave="{00000000-0000-0000-0000-000000000000}"/>
  <bookViews>
    <workbookView xWindow="-120" yWindow="-120" windowWidth="20730" windowHeight="11160" firstSheet="1" activeTab="1" xr2:uid="{00000000-000D-0000-FFFF-FFFF00000000}"/>
  </bookViews>
  <sheets>
    <sheet name="KPI" sheetId="7" r:id="rId1"/>
    <sheet name="Dashboard" sheetId="8" r:id="rId2"/>
    <sheet name="Rating" sheetId="9" r:id="rId3"/>
    <sheet name="Gender" sheetId="10" r:id="rId4"/>
    <sheet name="Education by Attrition" sheetId="11" r:id="rId5"/>
    <sheet name="Attrition by Job" sheetId="12" r:id="rId6"/>
    <sheet name="Dept wise Attrition" sheetId="13" r:id="rId7"/>
    <sheet name="Attrition by age group" sheetId="14" r:id="rId8"/>
    <sheet name="Marital Status" sheetId="15" r:id="rId9"/>
    <sheet name="Data" sheetId="1" r:id="rId10"/>
  </sheets>
  <definedNames>
    <definedName name="_xlchart.v1.3" hidden="1">'Attrition by Job'!$D$4:$D$12</definedName>
    <definedName name="_xlchart.v1.4" hidden="1">'Attrition by Job'!$E$4:$E$12</definedName>
    <definedName name="_xlchart.v1.5" hidden="1">'Attrition by Job'!$D$4:$D$12</definedName>
    <definedName name="_xlchart.v1.6" hidden="1">'Attrition by Job'!$E$4:$E$12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6" i="15" l="1"/>
  <c r="D4" i="15"/>
  <c r="D5" i="15"/>
  <c r="D5" i="12"/>
  <c r="D6" i="12"/>
  <c r="D7" i="12"/>
  <c r="D8" i="12"/>
  <c r="D9" i="12"/>
  <c r="D10" i="12"/>
  <c r="D11" i="12"/>
  <c r="D12" i="12"/>
  <c r="D4" i="12"/>
  <c r="A8" i="7"/>
  <c r="B8" i="7"/>
  <c r="C8" i="7"/>
  <c r="E4" i="15"/>
  <c r="E6" i="15"/>
  <c r="E5" i="15"/>
  <c r="E5" i="12"/>
  <c r="E9" i="12"/>
  <c r="E6" i="12"/>
  <c r="E10" i="12"/>
  <c r="E12" i="12"/>
  <c r="E7" i="12"/>
  <c r="E11" i="12"/>
  <c r="E8" i="12"/>
  <c r="E4" i="12"/>
  <c r="B10" i="10"/>
  <c r="B9" i="10"/>
  <c r="B7" i="9"/>
  <c r="B6" i="9"/>
  <c r="C9" i="10" l="1"/>
  <c r="C10" i="10"/>
  <c r="C6" i="9"/>
  <c r="C7" i="9"/>
  <c r="D8" i="7"/>
  <c r="E8"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<sst xmlns="http://schemas.openxmlformats.org/spreadsheetml/2006/main" count="19216" uniqueCount="1570">
  <si>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</si>
  <si>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</si>
  <si>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</si>
  <si>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</si>
  <si>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</si>
  <si>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</si>
  <si>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</si>
  <si>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</si>
  <si>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</si>
  <si>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</si>
  <si>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</si>
  <si>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</si>
  <si>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</si>
  <si>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</si>
  <si>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</si>
  <si>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</si>
  <si>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</si>
  <si>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</si>
  <si>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</si>
  <si>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</si>
  <si>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</si>
  <si>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</si>
  <si>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</si>
  <si>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</si>
  <si>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</si>
  <si>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</si>
  <si>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</si>
  <si>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</si>
  <si>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</si>
  <si>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</si>
  <si>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</si>
  <si>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</si>
  <si>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</si>
  <si>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</si>
  <si>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</si>
  <si>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</si>
  <si>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</si>
  <si>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</si>
  <si>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</si>
  <si>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</si>
  <si>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</si>
  <si>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</si>
  <si>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</si>
  <si>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</si>
  <si>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</si>
  <si>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</si>
  <si>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</si>
  <si>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</si>
  <si>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</si>
  <si>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</si>
  <si>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</si>
  <si>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</si>
  <si>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</si>
  <si>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</si>
  <si>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</si>
  <si>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</si>
  <si>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</si>
  <si>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</si>
  <si>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</si>
  <si>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</si>
  <si>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</si>
  <si>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</si>
  <si>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</si>
  <si>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</si>
  <si>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</si>
  <si>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</si>
  <si>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</si>
  <si>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</si>
  <si>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</si>
  <si>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</si>
  <si>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</si>
  <si>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</si>
  <si>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</si>
  <si>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</si>
  <si>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</si>
  <si>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</si>
  <si>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</si>
  <si>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</si>
  <si>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</si>
  <si>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</si>
  <si>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</si>
  <si>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</si>
  <si>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</si>
  <si>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</si>
  <si>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</si>
  <si>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</si>
  <si>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</si>
  <si>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</si>
  <si>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</si>
  <si>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</si>
  <si>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</si>
  <si>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</si>
  <si>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</si>
  <si>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</si>
  <si>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</si>
  <si>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</si>
  <si>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</si>
  <si>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</si>
  <si>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</si>
  <si>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</si>
  <si>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</si>
  <si>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</si>
  <si>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</si>
  <si>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</si>
  <si>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</si>
  <si>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</si>
  <si>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</si>
  <si>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</si>
  <si>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</si>
  <si>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</si>
  <si>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</si>
  <si>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</si>
  <si>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</si>
  <si>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</si>
  <si>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</si>
  <si>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</si>
  <si>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</si>
  <si>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</si>
  <si>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</si>
  <si>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</si>
  <si>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</si>
  <si>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</si>
  <si>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</si>
  <si>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</si>
  <si>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</si>
  <si>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</si>
  <si>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</si>
  <si>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</si>
  <si>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</si>
  <si>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</si>
  <si>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</si>
  <si>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</si>
  <si>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</si>
  <si>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</si>
  <si>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</si>
  <si>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</si>
  <si>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</si>
  <si>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</si>
  <si>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</si>
  <si>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</si>
  <si>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</si>
  <si>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</si>
  <si>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</si>
  <si>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</si>
  <si>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</si>
  <si>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</si>
  <si>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</si>
  <si>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</si>
  <si>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</si>
  <si>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</si>
  <si>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</si>
  <si>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</si>
  <si>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</si>
  <si>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</si>
  <si>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</si>
  <si>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</si>
  <si>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</si>
  <si>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</si>
  <si>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</si>
  <si>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</si>
  <si>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</si>
  <si>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</si>
  <si>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</si>
  <si>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</si>
  <si>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</si>
  <si>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</si>
  <si>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</si>
  <si>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</si>
  <si>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</si>
  <si>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</si>
  <si>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</si>
  <si>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</si>
  <si>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</si>
  <si>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</si>
  <si>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</si>
  <si>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</si>
  <si>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</si>
  <si>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</si>
  <si>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</si>
  <si>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</si>
  <si>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</si>
  <si>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</si>
  <si>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</si>
  <si>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</si>
  <si>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</si>
  <si>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</si>
  <si>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</si>
  <si>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</si>
  <si>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</si>
  <si>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</si>
  <si>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</si>
  <si>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</si>
  <si>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</si>
  <si>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</si>
  <si>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</si>
  <si>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</si>
  <si>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</si>
  <si>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</si>
  <si>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</si>
  <si>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</si>
  <si>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</si>
  <si>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</si>
  <si>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</si>
  <si>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</si>
  <si>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</si>
  <si>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</si>
  <si>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</si>
  <si>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</si>
  <si>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</si>
  <si>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</si>
  <si>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</si>
  <si>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</si>
  <si>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</si>
  <si>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</si>
  <si>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</si>
  <si>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</si>
  <si>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</si>
  <si>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</si>
  <si>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</si>
  <si>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</si>
  <si>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</si>
  <si>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</si>
  <si>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</si>
  <si>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</si>
  <si>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</si>
  <si>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</si>
  <si>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</si>
  <si>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</si>
  <si>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</si>
  <si>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</si>
  <si>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</si>
  <si>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</si>
  <si>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</si>
  <si>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</si>
  <si>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</si>
  <si>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</si>
  <si>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</si>
  <si>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</si>
  <si>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</si>
  <si>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</si>
  <si>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</si>
  <si>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</si>
  <si>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</si>
  <si>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</si>
  <si>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</si>
  <si>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</si>
  <si>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</si>
  <si>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</si>
  <si>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</si>
  <si>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</si>
  <si>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</si>
  <si>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</si>
  <si>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</si>
  <si>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</si>
  <si>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</si>
  <si>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</si>
  <si>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</si>
  <si>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</si>
  <si>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</si>
  <si>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</si>
  <si>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</si>
  <si>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</si>
  <si>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</si>
  <si>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</si>
  <si>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</si>
  <si>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</si>
  <si>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</si>
  <si>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</si>
  <si>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</si>
  <si>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</si>
  <si>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</si>
  <si>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</si>
  <si>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</si>
  <si>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</si>
  <si>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</si>
  <si>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</si>
  <si>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</si>
  <si>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</si>
  <si>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</si>
  <si>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</si>
  <si>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</si>
  <si>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</si>
  <si>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</si>
  <si>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</si>
  <si>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</si>
  <si>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</si>
  <si>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</si>
  <si>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</si>
  <si>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</si>
  <si>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</si>
  <si>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</si>
  <si>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</si>
  <si>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</si>
  <si>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</si>
  <si>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</si>
  <si>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</si>
  <si>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</si>
  <si>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</si>
  <si>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</si>
  <si>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</si>
  <si>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</si>
  <si>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</si>
  <si>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</si>
  <si>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</si>
  <si>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</si>
  <si>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</si>
  <si>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</si>
  <si>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</si>
  <si>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</si>
  <si>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</si>
  <si>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</si>
  <si>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</si>
  <si>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</si>
  <si>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</si>
  <si>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</si>
  <si>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</si>
  <si>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</si>
  <si>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</si>
  <si>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</si>
  <si>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</si>
  <si>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</si>
  <si>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</si>
  <si>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</si>
  <si>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</si>
  <si>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</si>
  <si>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</si>
  <si>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</si>
  <si>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</si>
  <si>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</si>
  <si>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</si>
  <si>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</si>
  <si>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</si>
  <si>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</si>
  <si>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</si>
  <si>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</si>
  <si>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</si>
  <si>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</si>
  <si>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</si>
  <si>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</si>
  <si>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</si>
  <si>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</si>
  <si>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</si>
  <si>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</si>
  <si>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</si>
  <si>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</si>
  <si>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</si>
  <si>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</si>
  <si>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</si>
  <si>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</si>
  <si>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</si>
  <si>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</si>
  <si>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</si>
  <si>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</si>
  <si>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</si>
  <si>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</si>
  <si>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</si>
  <si>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</si>
  <si>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</si>
  <si>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</si>
  <si>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</si>
  <si>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</si>
  <si>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</si>
  <si>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</si>
  <si>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</si>
  <si>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</si>
  <si>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</si>
  <si>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</si>
  <si>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</si>
  <si>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</si>
  <si>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</si>
  <si>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</si>
  <si>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</si>
  <si>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</si>
  <si>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</si>
  <si>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</si>
  <si>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</si>
  <si>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</si>
  <si>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</si>
  <si>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</si>
  <si>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</si>
  <si>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</si>
  <si>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</si>
  <si>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</si>
  <si>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</si>
  <si>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</si>
  <si>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</si>
  <si>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</si>
  <si>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</si>
  <si>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</si>
  <si>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</si>
  <si>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</si>
  <si>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</si>
  <si>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</si>
  <si>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</si>
  <si>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</si>
  <si>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</si>
  <si>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</si>
  <si>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</si>
  <si>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</si>
  <si>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</si>
  <si>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</si>
  <si>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</si>
  <si>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</si>
  <si>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</si>
  <si>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</si>
  <si>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</si>
  <si>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</si>
  <si>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</si>
  <si>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</si>
  <si>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</si>
  <si>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</si>
  <si>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</si>
  <si>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</si>
  <si>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</si>
  <si>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</si>
  <si>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</si>
  <si>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</si>
  <si>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</si>
  <si>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</si>
  <si>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</si>
  <si>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</si>
  <si>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</si>
  <si>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</si>
  <si>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</si>
  <si>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</si>
  <si>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</si>
  <si>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</si>
  <si>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</si>
  <si>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</si>
  <si>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</si>
  <si>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</si>
  <si>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</si>
  <si>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</si>
  <si>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</si>
  <si>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</si>
  <si>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</si>
  <si>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</si>
  <si>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</si>
  <si>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</si>
  <si>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</si>
  <si>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</si>
  <si>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</si>
  <si>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</si>
  <si>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</si>
  <si>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</si>
  <si>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</si>
  <si>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</si>
  <si>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</si>
  <si>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</si>
  <si>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</si>
  <si>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</si>
  <si>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</si>
  <si>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</si>
  <si>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</si>
  <si>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</si>
  <si>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</si>
  <si>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</si>
  <si>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</si>
  <si>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</si>
  <si>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</si>
  <si>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</si>
  <si>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</si>
  <si>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</si>
  <si>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</si>
  <si>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</si>
  <si>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</si>
  <si>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</si>
  <si>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</si>
  <si>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</si>
  <si>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</si>
  <si>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</si>
  <si>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</si>
  <si>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</si>
  <si>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</si>
  <si>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</si>
  <si>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</si>
  <si>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</si>
  <si>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</si>
  <si>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</si>
  <si>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</si>
  <si>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</si>
  <si>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</si>
  <si>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</si>
  <si>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</si>
  <si>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</si>
  <si>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</si>
  <si>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</si>
  <si>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</si>
  <si>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</si>
  <si>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</si>
  <si>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</si>
  <si>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</si>
  <si>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</si>
  <si>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</si>
  <si>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</si>
  <si>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</si>
  <si>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</si>
  <si>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</si>
  <si>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</si>
  <si>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</si>
  <si>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</si>
  <si>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</si>
  <si>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</si>
  <si>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</si>
  <si>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</si>
  <si>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</si>
  <si>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</si>
  <si>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</si>
  <si>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</si>
  <si>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</si>
  <si>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</si>
  <si>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</si>
  <si>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</si>
  <si>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</si>
  <si>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</si>
  <si>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</si>
  <si>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</si>
  <si>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</si>
  <si>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</si>
  <si>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</si>
  <si>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</si>
  <si>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</si>
  <si>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</si>
  <si>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</si>
  <si>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</si>
  <si>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</si>
  <si>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</si>
  <si>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</si>
  <si>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</si>
  <si>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</si>
  <si>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</si>
  <si>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</si>
  <si>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</si>
  <si>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</si>
  <si>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</si>
  <si>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</si>
  <si>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</si>
  <si>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</si>
  <si>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</si>
  <si>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</si>
  <si>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</si>
  <si>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</si>
  <si>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</si>
  <si>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</si>
  <si>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</si>
  <si>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</si>
  <si>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</si>
  <si>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</si>
  <si>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</si>
  <si>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</si>
  <si>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</si>
  <si>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</si>
  <si>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</si>
  <si>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</si>
  <si>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</si>
  <si>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</si>
  <si>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</si>
  <si>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</si>
  <si>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</si>
  <si>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</si>
  <si>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</si>
  <si>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</si>
  <si>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</si>
  <si>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</si>
  <si>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</si>
  <si>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</si>
  <si>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</si>
  <si>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</si>
  <si>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</si>
  <si>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</si>
  <si>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</si>
  <si>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</si>
  <si>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</si>
  <si>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</si>
  <si>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</si>
  <si>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</si>
  <si>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</si>
  <si>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</si>
  <si>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</si>
  <si>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</si>
  <si>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</si>
  <si>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</si>
  <si>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</si>
  <si>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</si>
  <si>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</si>
  <si>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</si>
  <si>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</si>
  <si>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</si>
  <si>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</si>
  <si>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</si>
  <si>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</si>
  <si>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</si>
  <si>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</si>
  <si>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</si>
  <si>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</si>
  <si>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</si>
  <si>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</si>
  <si>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</si>
  <si>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</si>
  <si>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</si>
  <si>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</si>
  <si>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</si>
  <si>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</si>
  <si>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</si>
  <si>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</si>
  <si>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</si>
  <si>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</si>
  <si>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</si>
  <si>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</si>
  <si>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</si>
  <si>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</si>
  <si>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</si>
  <si>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</si>
  <si>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</si>
  <si>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</si>
  <si>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</si>
  <si>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</si>
  <si>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</si>
  <si>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</si>
  <si>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</si>
  <si>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</si>
  <si>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</si>
  <si>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</si>
  <si>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</si>
  <si>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</si>
  <si>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</si>
  <si>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</si>
  <si>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</si>
  <si>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</si>
  <si>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</si>
  <si>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</si>
  <si>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</si>
  <si>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</si>
  <si>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</si>
  <si>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</si>
  <si>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</si>
  <si>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</si>
  <si>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</si>
  <si>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</si>
  <si>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</si>
  <si>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</si>
  <si>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</si>
  <si>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</si>
  <si>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</si>
  <si>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</si>
  <si>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</si>
  <si>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</si>
  <si>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</si>
  <si>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</si>
  <si>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</si>
  <si>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</si>
  <si>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</si>
  <si>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</si>
  <si>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</si>
  <si>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</si>
  <si>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</si>
  <si>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</si>
  <si>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</si>
  <si>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</si>
  <si>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</si>
  <si>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</si>
  <si>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</si>
  <si>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</si>
  <si>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</si>
  <si>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</si>
  <si>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</si>
  <si>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</si>
  <si>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</si>
  <si>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</si>
  <si>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</si>
  <si>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</si>
  <si>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</si>
  <si>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</si>
  <si>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</si>
  <si>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</si>
  <si>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</si>
  <si>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</si>
  <si>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</si>
  <si>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</si>
  <si>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</si>
  <si>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</si>
  <si>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</si>
  <si>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</si>
  <si>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</si>
  <si>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</si>
  <si>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</si>
  <si>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</si>
  <si>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</si>
  <si>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</si>
  <si>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</si>
  <si>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</si>
  <si>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</si>
  <si>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</si>
  <si>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</si>
  <si>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</si>
  <si>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</si>
  <si>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</si>
  <si>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</si>
  <si>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</si>
  <si>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</si>
  <si>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</si>
  <si>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</si>
  <si>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</si>
  <si>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</si>
  <si>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</si>
  <si>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</si>
  <si>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</si>
  <si>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</si>
  <si>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</si>
  <si>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</si>
  <si>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</si>
  <si>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</si>
  <si>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</si>
  <si>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</si>
  <si>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</si>
  <si>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</si>
  <si>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</si>
  <si>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</si>
  <si>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</si>
  <si>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</si>
  <si>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</si>
  <si>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</si>
  <si>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</si>
  <si>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</si>
  <si>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</si>
  <si>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</si>
  <si>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</si>
  <si>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</si>
  <si>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</si>
  <si>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</si>
  <si>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</si>
  <si>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</si>
  <si>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</si>
  <si>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</si>
  <si>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</si>
  <si>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</si>
  <si>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</si>
  <si>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</si>
  <si>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</si>
  <si>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</si>
  <si>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</si>
  <si>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</si>
  <si>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</si>
  <si>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</si>
  <si>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</si>
  <si>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</si>
  <si>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</si>
  <si>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</si>
  <si>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</si>
  <si>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</si>
  <si>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</si>
  <si>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</si>
  <si>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</si>
  <si>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</si>
  <si>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</si>
  <si>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</si>
  <si>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</si>
  <si>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</si>
  <si>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</si>
  <si>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</si>
  <si>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</si>
  <si>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</si>
  <si>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</si>
  <si>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</si>
  <si>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</si>
  <si>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</si>
  <si>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</si>
  <si>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</si>
  <si>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</si>
  <si>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</si>
  <si>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</si>
  <si>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</si>
  <si>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</si>
  <si>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</si>
  <si>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</si>
  <si>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</si>
  <si>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</si>
  <si>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</si>
  <si>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</si>
  <si>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</si>
  <si>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</si>
  <si>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</si>
  <si>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</si>
  <si>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</si>
  <si>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</si>
  <si>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</si>
  <si>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</si>
  <si>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</si>
  <si>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</si>
  <si>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</si>
  <si>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</si>
  <si>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</si>
  <si>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</si>
  <si>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</si>
  <si>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</si>
  <si>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</si>
  <si>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</si>
  <si>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</si>
  <si>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</si>
  <si>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</si>
  <si>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</si>
  <si>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</si>
  <si>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</si>
  <si>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</si>
  <si>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</si>
  <si>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</si>
  <si>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</si>
  <si>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</si>
  <si>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</si>
  <si>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</si>
  <si>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</si>
  <si>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</si>
  <si>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</si>
  <si>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</si>
  <si>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</si>
  <si>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</si>
  <si>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</si>
  <si>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</si>
  <si>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</si>
  <si>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</si>
  <si>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</si>
  <si>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</si>
  <si>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</si>
  <si>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</si>
  <si>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</si>
  <si>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</si>
  <si>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</si>
  <si>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</si>
  <si>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</si>
  <si>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</si>
  <si>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</si>
  <si>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</si>
  <si>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</si>
  <si>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</si>
  <si>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</si>
  <si>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</si>
  <si>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</si>
  <si>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</si>
  <si>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</si>
  <si>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</si>
  <si>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</si>
  <si>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</si>
  <si>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</si>
  <si>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</si>
  <si>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</si>
  <si>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</si>
  <si>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</si>
  <si>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</si>
  <si>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</si>
  <si>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</si>
  <si>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</si>
  <si>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</si>
  <si>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</si>
  <si>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</si>
  <si>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</si>
  <si>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</si>
  <si>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</si>
  <si>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</si>
  <si>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</si>
  <si>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</si>
  <si>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</si>
  <si>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</si>
  <si>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</si>
  <si>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</si>
  <si>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</si>
  <si>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</si>
  <si>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</si>
  <si>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</si>
  <si>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</si>
  <si>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</si>
  <si>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</si>
  <si>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</si>
  <si>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</si>
  <si>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</si>
  <si>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</si>
  <si>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</si>
  <si>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</si>
  <si>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</si>
  <si>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</si>
  <si>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</si>
  <si>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</si>
  <si>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</si>
  <si>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</si>
  <si>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</si>
  <si>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</si>
  <si>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</si>
  <si>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</si>
  <si>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</si>
  <si>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</si>
  <si>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</si>
  <si>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</si>
  <si>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</si>
  <si>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</si>
  <si>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</si>
  <si>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</si>
  <si>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</si>
  <si>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</si>
  <si>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</si>
  <si>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</si>
  <si>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</si>
  <si>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</si>
  <si>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</si>
  <si>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</si>
  <si>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</si>
  <si>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</si>
  <si>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</si>
  <si>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</si>
  <si>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</si>
  <si>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</si>
  <si>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</si>
  <si>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</si>
  <si>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</si>
  <si>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</si>
  <si>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</si>
  <si>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</si>
  <si>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</si>
  <si>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</si>
  <si>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</si>
  <si>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</si>
  <si>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</si>
  <si>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</si>
  <si>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</si>
  <si>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</si>
  <si>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</si>
  <si>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</si>
  <si>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</si>
  <si>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</si>
  <si>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</si>
  <si>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</si>
  <si>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</si>
  <si>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</si>
  <si>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</si>
  <si>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</si>
  <si>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</si>
  <si>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</si>
  <si>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</si>
  <si>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</si>
  <si>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</si>
  <si>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</si>
  <si>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</si>
  <si>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</si>
  <si>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</si>
  <si>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</si>
  <si>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</si>
  <si>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</si>
  <si>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</si>
  <si>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</si>
  <si>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</si>
  <si>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</si>
  <si>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</si>
  <si>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</si>
  <si>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</si>
  <si>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</si>
  <si>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</si>
  <si>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</si>
  <si>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</si>
  <si>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</si>
  <si>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</si>
  <si>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</si>
  <si>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</si>
  <si>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</si>
  <si>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</si>
  <si>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</si>
  <si>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</si>
  <si>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</si>
  <si>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</si>
  <si>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</si>
  <si>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</si>
  <si>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</si>
  <si>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</si>
  <si>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</si>
  <si>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</si>
  <si>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</si>
  <si>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</si>
  <si>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</si>
  <si>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</si>
  <si>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</si>
  <si>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</si>
  <si>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</si>
  <si>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</si>
  <si>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</si>
  <si>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</si>
  <si>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</si>
  <si>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</si>
  <si>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</si>
  <si>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</si>
  <si>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</si>
  <si>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</si>
  <si>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</si>
  <si>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</si>
  <si>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</si>
  <si>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</si>
  <si>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</si>
  <si>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</si>
  <si>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</si>
  <si>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</si>
  <si>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</si>
  <si>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</si>
  <si>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</si>
  <si>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</si>
  <si>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</si>
  <si>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</si>
  <si>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</si>
  <si>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</si>
  <si>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</si>
  <si>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</si>
  <si>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</si>
  <si>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</si>
  <si>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</si>
  <si>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</si>
  <si>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</si>
  <si>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</si>
  <si>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</si>
  <si>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</si>
  <si>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</si>
  <si>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</si>
  <si>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</si>
  <si>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</si>
  <si>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</si>
  <si>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</si>
  <si>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</si>
  <si>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</si>
  <si>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</si>
  <si>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</si>
  <si>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</si>
  <si>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</si>
  <si>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</si>
  <si>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</si>
  <si>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</si>
  <si>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</si>
  <si>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</si>
  <si>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</si>
  <si>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</si>
  <si>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</si>
  <si>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</si>
  <si>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</si>
  <si>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</si>
  <si>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</si>
  <si>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</si>
  <si>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</si>
  <si>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</si>
  <si>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</si>
  <si>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</si>
  <si>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</si>
  <si>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</si>
  <si>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</si>
  <si>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</si>
  <si>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</si>
  <si>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</si>
  <si>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</si>
  <si>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</si>
  <si>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</si>
  <si>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</si>
  <si>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</si>
  <si>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</si>
  <si>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</si>
  <si>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</si>
  <si>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</si>
  <si>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</si>
  <si>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</si>
  <si>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</si>
  <si>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</si>
  <si>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</si>
  <si>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</si>
  <si>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</si>
  <si>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</si>
  <si>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</si>
  <si>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</si>
  <si>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</si>
  <si>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</si>
  <si>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</si>
  <si>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</si>
  <si>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</si>
  <si>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</si>
  <si>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</si>
  <si>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</si>
  <si>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</si>
  <si>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</si>
  <si>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</si>
  <si>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</si>
  <si>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</si>
  <si>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</si>
  <si>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</si>
  <si>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</si>
  <si>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</si>
  <si>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</si>
  <si>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</si>
  <si>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</si>
  <si>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</si>
  <si>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</si>
  <si>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</si>
  <si>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</si>
  <si>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</si>
  <si>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</si>
  <si>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</si>
  <si>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</si>
  <si>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</si>
  <si>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</si>
  <si>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</si>
  <si>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</si>
  <si>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</si>
  <si>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</si>
  <si>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</si>
  <si>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</si>
  <si>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</si>
  <si>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</si>
  <si>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</si>
  <si>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</si>
  <si>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</si>
  <si>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</si>
  <si>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</si>
  <si>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</si>
  <si>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</si>
  <si>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</si>
  <si>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</si>
  <si>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</si>
  <si>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</si>
  <si>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</si>
  <si>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</si>
  <si>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</si>
  <si>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</si>
  <si>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</si>
  <si>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</si>
  <si>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</si>
  <si>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</si>
  <si>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</si>
  <si>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</si>
  <si>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</si>
  <si>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</si>
  <si>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</si>
  <si>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</si>
  <si>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</si>
  <si>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</si>
  <si>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</si>
  <si>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</si>
  <si>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</si>
  <si>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</si>
  <si>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</si>
  <si>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</si>
  <si>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</si>
  <si>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</si>
  <si>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</si>
  <si>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</si>
  <si>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</si>
  <si>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</si>
  <si>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</si>
  <si>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</si>
  <si>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</si>
  <si>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</si>
  <si>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</si>
  <si>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</si>
  <si>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</si>
  <si>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</si>
  <si>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</si>
  <si>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</si>
  <si>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</si>
  <si>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</si>
  <si>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</si>
  <si>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</si>
  <si>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</si>
  <si>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</si>
  <si>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</si>
  <si>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</si>
  <si>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</si>
  <si>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</si>
  <si>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</si>
  <si>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</si>
  <si>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</si>
  <si>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</si>
  <si>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</si>
  <si>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</si>
  <si>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</si>
  <si>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</si>
  <si>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</si>
  <si>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</si>
  <si>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</si>
  <si>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</si>
  <si>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</si>
  <si>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</si>
  <si>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</si>
  <si>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</si>
  <si>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</si>
  <si>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</si>
  <si>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</si>
  <si>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</si>
  <si>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</si>
  <si>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</si>
  <si>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</si>
  <si>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</si>
  <si>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</si>
  <si>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</si>
  <si>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</si>
  <si>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</si>
  <si>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</si>
  <si>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</si>
  <si>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</si>
  <si>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</si>
  <si>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</si>
  <si>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</si>
  <si>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</si>
  <si>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</si>
  <si>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</si>
  <si>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</si>
  <si>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</si>
  <si>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</si>
  <si>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</si>
  <si>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</si>
  <si>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</si>
  <si>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</si>
  <si>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</si>
  <si>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</si>
  <si>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</si>
  <si>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</si>
  <si>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</si>
  <si>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</si>
  <si>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</si>
  <si>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</si>
  <si>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</si>
  <si>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</si>
  <si>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</si>
  <si>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</si>
  <si>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</si>
  <si>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</si>
  <si>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</si>
  <si>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</si>
  <si>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</si>
  <si>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</si>
  <si>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</si>
  <si>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</si>
  <si>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</si>
  <si>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</si>
  <si>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</si>
  <si>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</si>
  <si>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</si>
  <si>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</si>
  <si>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</si>
  <si>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</si>
  <si>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</si>
  <si>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</si>
  <si>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</si>
  <si>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</si>
  <si>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</si>
  <si>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</si>
  <si>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</si>
  <si>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</si>
  <si>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</si>
  <si>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</si>
  <si>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</si>
  <si>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</si>
  <si>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</si>
  <si>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</si>
  <si>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</si>
  <si>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</si>
  <si>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</si>
  <si>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</si>
  <si>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</si>
  <si>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</si>
  <si>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</si>
  <si>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</si>
  <si>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</si>
  <si>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</si>
  <si>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</si>
  <si>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</si>
  <si>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</si>
  <si>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</si>
  <si>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</si>
  <si>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</si>
  <si>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</si>
  <si>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</si>
  <si>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</si>
  <si>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</si>
  <si>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</si>
  <si>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</si>
  <si>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</si>
  <si>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</si>
  <si>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</si>
  <si>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</si>
  <si>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</si>
  <si>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</si>
  <si>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</si>
  <si>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</si>
  <si>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</si>
  <si>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</si>
  <si>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</si>
  <si>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</si>
  <si>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</si>
  <si>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</si>
  <si>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</si>
  <si>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</si>
  <si>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</si>
  <si>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</si>
  <si>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</si>
  <si>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</si>
  <si>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</si>
  <si>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</si>
  <si>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</si>
  <si>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</si>
  <si>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</si>
  <si>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</si>
  <si>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</si>
  <si>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</si>
  <si>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</si>
  <si>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</si>
  <si>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</si>
  <si>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</si>
  <si>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</si>
  <si>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</si>
  <si>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</si>
  <si>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</si>
  <si>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</si>
  <si>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</si>
  <si>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</si>
  <si>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</si>
  <si>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</si>
  <si>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</si>
  <si>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</si>
  <si>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</si>
  <si>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</si>
  <si>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</si>
  <si>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</si>
  <si>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</si>
  <si>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</si>
  <si>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</si>
  <si>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</si>
  <si>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</si>
  <si>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</si>
  <si>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</si>
  <si>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</si>
  <si>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</si>
  <si>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</si>
  <si>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</si>
  <si>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</si>
  <si>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</si>
  <si>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</si>
  <si>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</si>
  <si>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</si>
  <si>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</si>
  <si>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</si>
  <si>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</si>
  <si>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</si>
  <si>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</si>
  <si>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</si>
  <si>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</si>
  <si>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</si>
  <si>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</si>
  <si>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</si>
  <si>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</si>
  <si>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</si>
  <si>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</si>
  <si>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</si>
  <si>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</si>
  <si>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</si>
  <si>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</si>
  <si>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</si>
  <si>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</si>
  <si>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</si>
  <si>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</si>
  <si>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</si>
  <si>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</si>
  <si>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</si>
  <si>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</si>
  <si>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</si>
  <si>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</si>
  <si>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</si>
  <si>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</si>
  <si>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</si>
  <si>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</si>
  <si>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</si>
  <si>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</si>
  <si>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</si>
  <si>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</si>
  <si>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</si>
  <si>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</si>
  <si>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</si>
  <si>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</si>
  <si>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</si>
  <si>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</si>
  <si>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</si>
  <si>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</si>
  <si>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</si>
  <si>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</si>
  <si>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</si>
  <si>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</si>
  <si>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</si>
  <si>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</si>
  <si>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</si>
  <si>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</si>
  <si>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</si>
  <si>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</si>
  <si>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</si>
  <si>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</si>
  <si>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</si>
  <si>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</si>
  <si>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</si>
  <si>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</si>
  <si>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</si>
  <si>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</si>
  <si>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</si>
  <si>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</si>
  <si>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</si>
  <si>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</si>
  <si>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</si>
  <si>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</si>
  <si>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</si>
  <si>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</si>
  <si>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</si>
  <si>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</si>
  <si>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</si>
  <si>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</si>
  <si>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</si>
  <si>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</si>
  <si>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</si>
  <si>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</si>
  <si>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</si>
  <si>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</si>
  <si>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</si>
  <si>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</si>
  <si>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</si>
  <si>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</si>
  <si>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</si>
  <si>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</si>
  <si>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</si>
  <si>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</si>
  <si>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</si>
  <si>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</si>
  <si>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</si>
  <si>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</si>
  <si>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</si>
  <si>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</si>
  <si>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</si>
  <si>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</si>
  <si>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</si>
  <si>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</si>
  <si>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</si>
  <si>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</si>
  <si>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</si>
  <si>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</si>
  <si>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</si>
  <si>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</si>
  <si>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</si>
  <si>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</si>
  <si>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</si>
  <si>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</si>
  <si>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</si>
  <si>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</si>
  <si>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</si>
  <si>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</si>
  <si>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</si>
  <si>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</si>
  <si>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</si>
  <si>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</si>
  <si>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</si>
  <si>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</si>
  <si>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</si>
  <si>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</si>
  <si>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</si>
  <si>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</si>
  <si>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</si>
  <si>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</si>
  <si>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</si>
  <si>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</si>
  <si>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</si>
  <si>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</si>
  <si>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</si>
  <si>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</si>
  <si>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</si>
  <si>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</si>
  <si>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</si>
  <si>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</si>
  <si>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</si>
  <si>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</si>
  <si>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</si>
  <si>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</si>
  <si>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</si>
  <si>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</si>
  <si>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</si>
  <si>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</si>
  <si>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</si>
  <si>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</si>
  <si>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</si>
  <si>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</si>
  <si>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</si>
  <si>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</si>
  <si>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</si>
  <si>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</si>
  <si>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</si>
  <si>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</si>
  <si>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</si>
  <si>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</si>
  <si>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</si>
  <si>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</si>
  <si>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</si>
  <si>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</si>
  <si>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</si>
  <si>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</si>
  <si>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</si>
  <si>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</si>
  <si>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</si>
  <si>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</si>
  <si>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</si>
  <si>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</si>
  <si>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</si>
  <si>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</si>
  <si>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</si>
  <si>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</si>
  <si>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</si>
  <si>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</si>
  <si>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</si>
  <si>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</si>
  <si>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</si>
  <si>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</si>
  <si>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</si>
  <si>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</si>
  <si>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</si>
  <si>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</si>
  <si>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</si>
  <si>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</si>
  <si>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</si>
  <si>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</si>
  <si>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</si>
  <si>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</si>
  <si>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</si>
  <si>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</si>
  <si>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</si>
  <si>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</si>
  <si>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</si>
  <si>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</si>
  <si>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</si>
  <si>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</si>
  <si>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</si>
  <si>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</si>
  <si>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</si>
  <si>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</si>
  <si>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</si>
  <si>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</si>
  <si>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</si>
  <si>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</si>
  <si>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</si>
  <si>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</si>
  <si>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</si>
  <si>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</si>
  <si>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</si>
  <si>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</si>
  <si>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</si>
  <si>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</si>
  <si>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</si>
  <si>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</si>
  <si>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</si>
  <si>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</si>
  <si>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</si>
  <si>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</si>
  <si>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</si>
  <si>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</si>
  <si>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</si>
  <si>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</si>
  <si>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</si>
  <si>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</si>
  <si>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</si>
  <si>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</si>
  <si>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 xml:space="preserve">Average Age </t>
  </si>
  <si>
    <t>Active Emmployees</t>
  </si>
  <si>
    <t>Attrition Rate</t>
  </si>
  <si>
    <t>Average of Job Satisfaction</t>
  </si>
  <si>
    <t>Rating</t>
  </si>
  <si>
    <t>Balance Rating</t>
  </si>
  <si>
    <t>Row Labels</t>
  </si>
  <si>
    <t>Grand Total</t>
  </si>
  <si>
    <t>Count of Employee Count</t>
  </si>
  <si>
    <t>Job role</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</si>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</sst>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0" borderId="8" xfId="0" applyBorder="1"/>
    <xf numFmtId="0" fontId="0" fillId="0" borderId="9" xfId="0" applyBorder="1"/>
    <xf numFmtId="0" fontId="0" fillId="0" borderId="3" xfId="0" applyBorder="1"/>
    <xf numFmtId="0" fontId="0" fillId="0" borderId="4" xfId="0" applyBorder="1"/>
    <xf numFmtId="164" fontId="0" fillId="0" borderId="9"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10" xfId="0" applyBorder="1"/>
    <xf numFmtId="0" fontId="0" fillId="0" borderId="3" xfId="0" applyBorder="1" applyAlignment="1">
      <alignment horizontal="left"/>
    </xf>
    <xf numFmtId="0" fontId="0" fillId="0" borderId="0" xfId="0" applyAlignment="1">
      <alignment horizontal="left"/>
    </xf>
    <xf numFmtId="9" fontId="0" fillId="0" borderId="0" xfId="1" applyFont="1"/>
    <xf numFmtId="10" fontId="0" fillId="0" borderId="8" xfId="0" applyNumberFormat="1" applyBorder="1"/>
    <xf numFmtId="10" fontId="0" fillId="0" borderId="10" xfId="0" applyNumberFormat="1" applyBorder="1"/>
    <xf numFmtId="10" fontId="0" fillId="0" borderId="9" xfId="0" applyNumberFormat="1" applyBorder="1"/>
    <xf numFmtId="0" fontId="0" fillId="0" borderId="6" xfId="0" applyBorder="1"/>
    <xf numFmtId="0" fontId="2" fillId="0" borderId="0" xfId="0" applyFont="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4" xr9:uid="{5786ECF4-2F5A-455B-807D-DC3CBDCA307F}">
      <tableStyleElement type="wholeTable" dxfId="1"/>
    </tableStyle>
  </tableStyles>
  <colors>
    <mruColors>
      <color rgb="FF800471"/>
      <color rgb="FFA71155"/>
      <color rgb="FF000000"/>
      <color rgb="FFB800AF"/>
      <color rgb="FF2F0317"/>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889AB9"/>
                  </a:gs>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7BDC-4D5A-BD95-43FE98CC64A1}"/>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7BDC-4D5A-BD95-43FE98CC64A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7BDC-4D5A-BD95-43FE98CC64A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7.407407407407407E-2"/>
          <c:w val="0.89971084864391948"/>
          <c:h val="0.8416746864975212"/>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C79-4733-BB57-3AFEE6F790A3}"/>
            </c:ext>
          </c:extLst>
        </c:ser>
        <c:ser>
          <c:idx val="1"/>
          <c:order val="1"/>
          <c:spPr>
            <a:no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C79-4733-BB57-3AFEE6F790A3}"/>
            </c:ext>
          </c:extLst>
        </c:ser>
        <c:dLbls>
          <c:showLegendKey val="0"/>
          <c:showVal val="0"/>
          <c:showCatName val="0"/>
          <c:showSerName val="0"/>
          <c:showPercent val="0"/>
          <c:showBubbleSize val="0"/>
        </c:dLbls>
        <c:gapWidth val="0"/>
        <c:overlap val="100"/>
        <c:axId val="593451032"/>
        <c:axId val="593449976"/>
      </c:barChart>
      <c:catAx>
        <c:axId val="593451032"/>
        <c:scaling>
          <c:orientation val="minMax"/>
        </c:scaling>
        <c:delete val="1"/>
        <c:axPos val="l"/>
        <c:majorTickMark val="out"/>
        <c:minorTickMark val="none"/>
        <c:tickLblPos val="nextTo"/>
        <c:crossAx val="593449976"/>
        <c:crosses val="autoZero"/>
        <c:auto val="1"/>
        <c:lblAlgn val="ctr"/>
        <c:lblOffset val="100"/>
        <c:noMultiLvlLbl val="0"/>
      </c:catAx>
      <c:valAx>
        <c:axId val="593449976"/>
        <c:scaling>
          <c:orientation val="minMax"/>
          <c:max val="4"/>
        </c:scaling>
        <c:delete val="1"/>
        <c:axPos val="b"/>
        <c:numFmt formatCode="0.0" sourceLinked="1"/>
        <c:majorTickMark val="out"/>
        <c:minorTickMark val="none"/>
        <c:tickLblPos val="nextTo"/>
        <c:crossAx val="59345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2F0317"/>
                  </a:gs>
                  <a:gs pos="0">
                    <a:srgbClr val="800471"/>
                  </a:gs>
                  <a:gs pos="100000">
                    <a:srgbClr val="B800AF"/>
                  </a:gs>
                </a:gsLst>
                <a:lin ang="5400000" scaled="1"/>
              </a:gradFill>
              <a:ln w="19050">
                <a:noFill/>
              </a:ln>
              <a:effectLst/>
            </c:spPr>
            <c:extLst>
              <c:ext xmlns:c16="http://schemas.microsoft.com/office/drawing/2014/chart" uri="{C3380CC4-5D6E-409C-BE32-E72D297353CC}">
                <c16:uniqueId val="{00000001-3582-4F36-A699-0FE7CD6CBE9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582-4F36-A699-0FE7CD6CBE9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582-4F36-A699-0FE7CD6CBE9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FC3C-4E8F-B30B-3DD72B9F228F}"/>
              </c:ext>
            </c:extLst>
          </c:dPt>
          <c:dPt>
            <c:idx val="1"/>
            <c:bubble3D val="0"/>
            <c:spPr>
              <a:gradFill>
                <a:gsLst>
                  <a:gs pos="0">
                    <a:srgbClr val="2F0317"/>
                  </a:gs>
                  <a:gs pos="0">
                    <a:schemeClr val="accent1">
                      <a:lumMod val="50000"/>
                    </a:schemeClr>
                  </a:gs>
                  <a:gs pos="10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3-FC3C-4E8F-B30B-3DD72B9F228F}"/>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C3C-4E8F-B30B-3DD72B9F228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0">
                <a:schemeClr val="accent6">
                  <a:lumMod val="50000"/>
                </a:schemeClr>
              </a:gs>
              <a:gs pos="100000">
                <a:srgbClr val="92D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00B050"/>
                </a:gs>
                <a:gs pos="0">
                  <a:schemeClr val="accent6">
                    <a:lumMod val="50000"/>
                  </a:schemeClr>
                </a:gs>
                <a:gs pos="100000">
                  <a:srgbClr val="92D05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B46-4810-9283-3D09E89198C6}"/>
            </c:ext>
          </c:extLst>
        </c:ser>
        <c:dLbls>
          <c:dLblPos val="outEnd"/>
          <c:showLegendKey val="0"/>
          <c:showVal val="1"/>
          <c:showCatName val="0"/>
          <c:showSerName val="0"/>
          <c:showPercent val="0"/>
          <c:showBubbleSize val="0"/>
        </c:dLbls>
        <c:gapWidth val="76"/>
        <c:axId val="537904568"/>
        <c:axId val="537905624"/>
      </c:barChart>
      <c:catAx>
        <c:axId val="537904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37905624"/>
        <c:crosses val="autoZero"/>
        <c:auto val="1"/>
        <c:lblAlgn val="ctr"/>
        <c:lblOffset val="100"/>
        <c:noMultiLvlLbl val="0"/>
      </c:catAx>
      <c:valAx>
        <c:axId val="537905624"/>
        <c:scaling>
          <c:orientation val="minMax"/>
        </c:scaling>
        <c:delete val="1"/>
        <c:axPos val="b"/>
        <c:numFmt formatCode="General" sourceLinked="1"/>
        <c:majorTickMark val="out"/>
        <c:minorTickMark val="none"/>
        <c:tickLblPos val="nextTo"/>
        <c:crossAx val="53790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lumMod val="50000"/>
                </a:schemeClr>
              </a:gs>
              <a:gs pos="0">
                <a:schemeClr val="accent5">
                  <a:lumMod val="75000"/>
                </a:schemeClr>
              </a:gs>
              <a:gs pos="100000">
                <a:schemeClr val="accent5">
                  <a:lumMod val="40000"/>
                  <a:lumOff val="60000"/>
                </a:schemeClr>
              </a:gs>
            </a:gsLst>
            <a:lin ang="10800000" scaled="0"/>
          </a:gradFill>
          <a:ln w="12700">
            <a:solidFill>
              <a:schemeClr val="bg1"/>
            </a:solidFill>
          </a:ln>
          <a:effectLst/>
        </c:spPr>
      </c:pivotFmt>
      <c:pivotFmt>
        <c:idx val="7"/>
        <c:spPr>
          <a:gradFill>
            <a:gsLst>
              <a:gs pos="0">
                <a:schemeClr val="accent4">
                  <a:lumMod val="50000"/>
                </a:schemeClr>
              </a:gs>
              <a:gs pos="0">
                <a:schemeClr val="accent1">
                  <a:lumMod val="50000"/>
                </a:schemeClr>
              </a:gs>
              <a:gs pos="100000">
                <a:schemeClr val="accent1">
                  <a:lumMod val="60000"/>
                  <a:lumOff val="40000"/>
                </a:schemeClr>
              </a:gs>
            </a:gsLst>
            <a:lin ang="10800000" scaled="0"/>
          </a:gradFill>
          <a:ln w="19050">
            <a:solidFill>
              <a:schemeClr val="lt1"/>
            </a:solidFill>
          </a:ln>
          <a:effectLst/>
        </c:spPr>
      </c:pivotFmt>
      <c:pivotFmt>
        <c:idx val="8"/>
        <c:spPr>
          <a:gradFill>
            <a:gsLst>
              <a:gs pos="0">
                <a:schemeClr val="accent4">
                  <a:lumMod val="50000"/>
                </a:schemeClr>
              </a:gs>
              <a:gs pos="0">
                <a:schemeClr val="accent3">
                  <a:lumMod val="50000"/>
                </a:schemeClr>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4">
                      <a:lumMod val="50000"/>
                    </a:schemeClr>
                  </a:gs>
                  <a:gs pos="0">
                    <a:schemeClr val="accent5">
                      <a:lumMod val="75000"/>
                    </a:schemeClr>
                  </a:gs>
                  <a:gs pos="100000">
                    <a:schemeClr val="accent5">
                      <a:lumMod val="40000"/>
                      <a:lumOff val="60000"/>
                    </a:schemeClr>
                  </a:gs>
                </a:gsLst>
                <a:lin ang="10800000" scaled="0"/>
              </a:gradFill>
              <a:ln w="12700">
                <a:solidFill>
                  <a:schemeClr val="bg1"/>
                </a:solidFill>
              </a:ln>
              <a:effectLst/>
            </c:spPr>
            <c:extLst>
              <c:ext xmlns:c16="http://schemas.microsoft.com/office/drawing/2014/chart" uri="{C3380CC4-5D6E-409C-BE32-E72D297353CC}">
                <c16:uniqueId val="{00000001-539A-41CC-A8BF-02A3F4A28DB4}"/>
              </c:ext>
            </c:extLst>
          </c:dPt>
          <c:dPt>
            <c:idx val="1"/>
            <c:bubble3D val="0"/>
            <c:spPr>
              <a:gradFill>
                <a:gsLst>
                  <a:gs pos="0">
                    <a:schemeClr val="accent4">
                      <a:lumMod val="50000"/>
                    </a:schemeClr>
                  </a:gs>
                  <a:gs pos="0">
                    <a:schemeClr val="accent1">
                      <a:lumMod val="50000"/>
                    </a:schemeClr>
                  </a:gs>
                  <a:gs pos="100000">
                    <a:schemeClr val="accent1">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3-539A-41CC-A8BF-02A3F4A28DB4}"/>
              </c:ext>
            </c:extLst>
          </c:dPt>
          <c:dPt>
            <c:idx val="2"/>
            <c:bubble3D val="0"/>
            <c:spPr>
              <a:gradFill>
                <a:gsLst>
                  <a:gs pos="0">
                    <a:schemeClr val="accent4">
                      <a:lumMod val="50000"/>
                    </a:schemeClr>
                  </a:gs>
                  <a:gs pos="0">
                    <a:schemeClr val="accent3">
                      <a:lumMod val="50000"/>
                    </a:schemeClr>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539A-41CC-A8BF-02A3F4A28D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39A-41CC-A8BF-02A3F4A28DB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50000"/>
                </a:schemeClr>
              </a:gs>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4">
                    <a:lumMod val="50000"/>
                  </a:schemeClr>
                </a:gs>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BC0-4C47-A72A-0E45B95B5744}"/>
            </c:ext>
          </c:extLst>
        </c:ser>
        <c:dLbls>
          <c:dLblPos val="outEnd"/>
          <c:showLegendKey val="0"/>
          <c:showVal val="1"/>
          <c:showCatName val="0"/>
          <c:showSerName val="0"/>
          <c:showPercent val="0"/>
          <c:showBubbleSize val="0"/>
        </c:dLbls>
        <c:gapWidth val="111"/>
        <c:overlap val="-27"/>
        <c:axId val="599916152"/>
        <c:axId val="499895568"/>
      </c:barChart>
      <c:catAx>
        <c:axId val="59991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j-lt"/>
                <a:ea typeface="+mn-ea"/>
                <a:cs typeface="+mn-cs"/>
              </a:defRPr>
            </a:pPr>
            <a:endParaRPr lang="en-US"/>
          </a:p>
        </c:txPr>
        <c:crossAx val="499895568"/>
        <c:crosses val="autoZero"/>
        <c:auto val="1"/>
        <c:lblAlgn val="ctr"/>
        <c:lblOffset val="100"/>
        <c:noMultiLvlLbl val="0"/>
      </c:catAx>
      <c:valAx>
        <c:axId val="499895568"/>
        <c:scaling>
          <c:orientation val="minMax"/>
        </c:scaling>
        <c:delete val="1"/>
        <c:axPos val="l"/>
        <c:numFmt formatCode="General" sourceLinked="1"/>
        <c:majorTickMark val="none"/>
        <c:minorTickMark val="none"/>
        <c:tickLblPos val="nextTo"/>
        <c:crossAx val="599916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8D-4822-A63C-DC66DD341B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8D-4822-A63C-DC66DD341B7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D85B-4CC4-BBC7-89B1727085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CE9-46F6-861B-41ED2A898977}"/>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8-3CE9-46F6-861B-41ED2A898977}"/>
            </c:ext>
          </c:extLst>
        </c:ser>
        <c:dLbls>
          <c:showLegendKey val="0"/>
          <c:showVal val="0"/>
          <c:showCatName val="0"/>
          <c:showSerName val="0"/>
          <c:showPercent val="0"/>
          <c:showBubbleSize val="0"/>
        </c:dLbls>
        <c:gapWidth val="0"/>
        <c:overlap val="100"/>
        <c:axId val="593451032"/>
        <c:axId val="593449976"/>
      </c:barChart>
      <c:catAx>
        <c:axId val="593451032"/>
        <c:scaling>
          <c:orientation val="minMax"/>
        </c:scaling>
        <c:delete val="1"/>
        <c:axPos val="l"/>
        <c:majorTickMark val="out"/>
        <c:minorTickMark val="none"/>
        <c:tickLblPos val="nextTo"/>
        <c:crossAx val="593449976"/>
        <c:crosses val="autoZero"/>
        <c:auto val="1"/>
        <c:lblAlgn val="ctr"/>
        <c:lblOffset val="100"/>
        <c:noMultiLvlLbl val="0"/>
      </c:catAx>
      <c:valAx>
        <c:axId val="593449976"/>
        <c:scaling>
          <c:orientation val="minMax"/>
          <c:max val="4"/>
        </c:scaling>
        <c:delete val="1"/>
        <c:axPos val="b"/>
        <c:numFmt formatCode="0.0" sourceLinked="1"/>
        <c:majorTickMark val="out"/>
        <c:minorTickMark val="none"/>
        <c:tickLblPos val="nextTo"/>
        <c:crossAx val="59345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5E-4A05-8D16-3AA271F74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5E-4A05-8D16-3AA271F744C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6E83-4FD4-88C1-2769ABF659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70B-4F61-9947-DF04CC8CFDEB}"/>
            </c:ext>
          </c:extLst>
        </c:ser>
        <c:dLbls>
          <c:dLblPos val="outEnd"/>
          <c:showLegendKey val="0"/>
          <c:showVal val="1"/>
          <c:showCatName val="0"/>
          <c:showSerName val="0"/>
          <c:showPercent val="0"/>
          <c:showBubbleSize val="0"/>
        </c:dLbls>
        <c:gapWidth val="182"/>
        <c:axId val="537904568"/>
        <c:axId val="537905624"/>
      </c:barChart>
      <c:catAx>
        <c:axId val="537904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905624"/>
        <c:crosses val="autoZero"/>
        <c:auto val="1"/>
        <c:lblAlgn val="ctr"/>
        <c:lblOffset val="100"/>
        <c:noMultiLvlLbl val="0"/>
      </c:catAx>
      <c:valAx>
        <c:axId val="537905624"/>
        <c:scaling>
          <c:orientation val="minMax"/>
        </c:scaling>
        <c:delete val="1"/>
        <c:axPos val="b"/>
        <c:numFmt formatCode="General" sourceLinked="1"/>
        <c:majorTickMark val="out"/>
        <c:minorTickMark val="none"/>
        <c:tickLblPos val="nextTo"/>
        <c:crossAx val="53790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21-447E-B047-354EF78C4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1-447E-B047-354EF78C44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1-447E-B047-354EF78C4460}"/>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014-4A55-A556-EAD42F7D7E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4DA-4514-BE0D-B5686AEF6D52}"/>
            </c:ext>
          </c:extLst>
        </c:ser>
        <c:dLbls>
          <c:showLegendKey val="0"/>
          <c:showVal val="0"/>
          <c:showCatName val="0"/>
          <c:showSerName val="0"/>
          <c:showPercent val="0"/>
          <c:showBubbleSize val="0"/>
        </c:dLbls>
        <c:gapWidth val="219"/>
        <c:overlap val="-27"/>
        <c:axId val="599916152"/>
        <c:axId val="499895568"/>
      </c:barChart>
      <c:catAx>
        <c:axId val="59991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95568"/>
        <c:crosses val="autoZero"/>
        <c:auto val="1"/>
        <c:lblAlgn val="ctr"/>
        <c:lblOffset val="100"/>
        <c:noMultiLvlLbl val="0"/>
      </c:catAx>
      <c:valAx>
        <c:axId val="499895568"/>
        <c:scaling>
          <c:orientation val="minMax"/>
        </c:scaling>
        <c:delete val="1"/>
        <c:axPos val="l"/>
        <c:numFmt formatCode="General" sourceLinked="1"/>
        <c:majorTickMark val="none"/>
        <c:minorTickMark val="none"/>
        <c:tickLblPos val="nextTo"/>
        <c:crossAx val="599916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00000000-ECE6-4F69-93B2-7FB840AD5AEF}">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84A8FBB-A731-454E-B39F-5495862C79A8}">
          <cx:tx>
            <cx:txData>
              <cx:f>_xlchart.v2.1</cx:f>
              <cx:v>Attrition</cx:v>
            </cx:txData>
          </cx:tx>
          <cx:spPr>
            <a:gradFill>
              <a:gsLst>
                <a:gs pos="0">
                  <a:schemeClr val="accent4">
                    <a:lumMod val="50000"/>
                  </a:schemeClr>
                </a:gs>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mj-lt"/>
              </a:defRPr>
            </a:pPr>
            <a:endParaRPr lang="en-US" sz="900" b="1" i="0" u="none" strike="noStrike" baseline="0">
              <a:solidFill>
                <a:srgbClr val="000000">
                  <a:lumMod val="65000"/>
                  <a:lumOff val="35000"/>
                </a:srgbClr>
              </a:solidFill>
              <a:latin typeface="+mj-lt"/>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ECE6-4F69-93B2-7FB840AD5AEF}">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384A8FBB-A731-454E-B39F-5495862C79A8}">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7</xdr:col>
      <xdr:colOff>447675</xdr:colOff>
      <xdr:row>2</xdr:row>
      <xdr:rowOff>161925</xdr:rowOff>
    </xdr:from>
    <xdr:to>
      <xdr:col>10</xdr:col>
      <xdr:colOff>219075</xdr:colOff>
      <xdr:row>16</xdr:row>
      <xdr:rowOff>28575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E1230BB-6044-F3C5-0826-290E167711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48675" y="561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289897</xdr:colOff>
      <xdr:row>2</xdr:row>
      <xdr:rowOff>41413</xdr:rowOff>
    </xdr:from>
    <xdr:to>
      <xdr:col>34</xdr:col>
      <xdr:colOff>103533</xdr:colOff>
      <xdr:row>41</xdr:row>
      <xdr:rowOff>186359</xdr:rowOff>
    </xdr:to>
    <xdr:grpSp>
      <xdr:nvGrpSpPr>
        <xdr:cNvPr id="80" name="Group 79">
          <a:extLst>
            <a:ext uri="{FF2B5EF4-FFF2-40B4-BE49-F238E27FC236}">
              <a16:creationId xmlns:a16="http://schemas.microsoft.com/office/drawing/2014/main" id="{23CCE980-4A9E-D434-9A1B-CC533518ADEB}"/>
            </a:ext>
          </a:extLst>
        </xdr:cNvPr>
        <xdr:cNvGrpSpPr/>
      </xdr:nvGrpSpPr>
      <xdr:grpSpPr>
        <a:xfrm>
          <a:off x="7093468" y="449627"/>
          <a:ext cx="16142208" cy="8105125"/>
          <a:chOff x="5673592" y="372717"/>
          <a:chExt cx="16213201" cy="8220490"/>
        </a:xfrm>
      </xdr:grpSpPr>
      <xdr:grpSp>
        <xdr:nvGrpSpPr>
          <xdr:cNvPr id="2" name="Shape 2">
            <a:extLst>
              <a:ext uri="{FF2B5EF4-FFF2-40B4-BE49-F238E27FC236}">
                <a16:creationId xmlns:a16="http://schemas.microsoft.com/office/drawing/2014/main" id="{BB1CDF56-843F-41F4-8834-CA42F4A517B0}"/>
              </a:ext>
            </a:extLst>
          </xdr:cNvPr>
          <xdr:cNvGrpSpPr/>
        </xdr:nvGrpSpPr>
        <xdr:grpSpPr>
          <a:xfrm>
            <a:off x="5818532" y="372717"/>
            <a:ext cx="16068261" cy="8220490"/>
            <a:chOff x="0" y="89063"/>
            <a:chExt cx="10692000" cy="7381875"/>
          </a:xfrm>
          <a:solidFill>
            <a:schemeClr val="bg1"/>
          </a:solidFill>
        </xdr:grpSpPr>
        <xdr:grpSp>
          <xdr:nvGrpSpPr>
            <xdr:cNvPr id="3" name="Shape 79">
              <a:extLst>
                <a:ext uri="{FF2B5EF4-FFF2-40B4-BE49-F238E27FC236}">
                  <a16:creationId xmlns:a16="http://schemas.microsoft.com/office/drawing/2014/main" id="{E37A8FFD-330A-F64E-B24F-F29B4F5C0836}"/>
                </a:ext>
              </a:extLst>
            </xdr:cNvPr>
            <xdr:cNvGrpSpPr/>
          </xdr:nvGrpSpPr>
          <xdr:grpSpPr>
            <a:xfrm>
              <a:off x="0" y="89063"/>
              <a:ext cx="10692000" cy="7381875"/>
              <a:chOff x="1752600" y="190500"/>
              <a:chExt cx="13468350" cy="7776000"/>
            </a:xfrm>
            <a:grpFill/>
          </xdr:grpSpPr>
          <xdr:sp macro="" textlink="">
            <xdr:nvSpPr>
              <xdr:cNvPr id="4" name="Shape 4">
                <a:extLst>
                  <a:ext uri="{FF2B5EF4-FFF2-40B4-BE49-F238E27FC236}">
                    <a16:creationId xmlns:a16="http://schemas.microsoft.com/office/drawing/2014/main" id="{DC2925F4-264A-EFA4-311E-1E5EB34C36DA}"/>
                  </a:ext>
                </a:extLst>
              </xdr:cNvPr>
              <xdr:cNvSpPr/>
            </xdr:nvSpPr>
            <xdr:spPr>
              <a:xfrm>
                <a:off x="1752600" y="190500"/>
                <a:ext cx="13468350" cy="7776000"/>
              </a:xfrm>
              <a:prstGeom prst="rect">
                <a:avLst/>
              </a:prstGeom>
              <a:grpFill/>
              <a:ln w="57150">
                <a:solidFill>
                  <a:schemeClr val="accent5">
                    <a:lumMod val="5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244C4B7B-6011-0590-E2C3-9F902DDE6E48}"/>
                  </a:ext>
                </a:extLst>
              </xdr:cNvPr>
              <xdr:cNvSpPr/>
            </xdr:nvSpPr>
            <xdr:spPr>
              <a:xfrm>
                <a:off x="1752600" y="190500"/>
                <a:ext cx="13468350" cy="7776000"/>
              </a:xfrm>
              <a:prstGeom prst="roundRect">
                <a:avLst>
                  <a:gd name="adj" fmla="val 1112"/>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4ABDDCC7-F0FF-77C3-FA68-0DD25E33B404}"/>
                  </a:ext>
                </a:extLst>
              </xdr:cNvPr>
              <xdr:cNvSpPr/>
            </xdr:nvSpPr>
            <xdr:spPr>
              <a:xfrm>
                <a:off x="1852449" y="270899"/>
                <a:ext cx="7691601" cy="834001"/>
              </a:xfrm>
              <a:prstGeom prst="roundRect">
                <a:avLst>
                  <a:gd name="adj" fmla="val 10000"/>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AAE04E69-C8DD-15D5-3A4E-8C7B9B0806F7}"/>
                  </a:ext>
                </a:extLst>
              </xdr:cNvPr>
              <xdr:cNvSpPr/>
            </xdr:nvSpPr>
            <xdr:spPr>
              <a:xfrm>
                <a:off x="9658349" y="270899"/>
                <a:ext cx="5467351" cy="834001"/>
              </a:xfrm>
              <a:prstGeom prst="roundRect">
                <a:avLst>
                  <a:gd name="adj" fmla="val 10000"/>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0C962648-F979-CC19-8DF3-5999ED88E47E}"/>
                  </a:ext>
                </a:extLst>
              </xdr:cNvPr>
              <xdr:cNvSpPr/>
            </xdr:nvSpPr>
            <xdr:spPr>
              <a:xfrm>
                <a:off x="5819774" y="2304895"/>
                <a:ext cx="4819651" cy="2772878"/>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3BD630C6-FB72-EE67-16E2-D6DE19355A0D}"/>
                  </a:ext>
                </a:extLst>
              </xdr:cNvPr>
              <xdr:cNvGrpSpPr/>
            </xdr:nvGrpSpPr>
            <xdr:grpSpPr>
              <a:xfrm>
                <a:off x="1846116" y="1215714"/>
                <a:ext cx="13289109" cy="998848"/>
                <a:chOff x="1846116" y="1215714"/>
                <a:chExt cx="13403409" cy="998848"/>
              </a:xfrm>
              <a:grpFill/>
            </xdr:grpSpPr>
            <xdr:sp macro="" textlink="">
              <xdr:nvSpPr>
                <xdr:cNvPr id="24" name="Shape 85">
                  <a:extLst>
                    <a:ext uri="{FF2B5EF4-FFF2-40B4-BE49-F238E27FC236}">
                      <a16:creationId xmlns:a16="http://schemas.microsoft.com/office/drawing/2014/main" id="{9EB17116-8498-8764-388E-2809331E5BED}"/>
                    </a:ext>
                  </a:extLst>
                </xdr:cNvPr>
                <xdr:cNvSpPr/>
              </xdr:nvSpPr>
              <xdr:spPr>
                <a:xfrm>
                  <a:off x="1846116" y="1215714"/>
                  <a:ext cx="2602058" cy="998848"/>
                </a:xfrm>
                <a:prstGeom prst="roundRect">
                  <a:avLst>
                    <a:gd name="adj" fmla="val 6048"/>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0D6C97BA-9FCA-85BB-EFC2-C12B55D38555}"/>
                    </a:ext>
                  </a:extLst>
                </xdr:cNvPr>
                <xdr:cNvSpPr/>
              </xdr:nvSpPr>
              <xdr:spPr>
                <a:xfrm>
                  <a:off x="4546454" y="1215714"/>
                  <a:ext cx="2602058" cy="998848"/>
                </a:xfrm>
                <a:prstGeom prst="roundRect">
                  <a:avLst>
                    <a:gd name="adj" fmla="val 6048"/>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CEF04E2C-74EA-8AAE-35D3-E2A992EB2E9A}"/>
                    </a:ext>
                  </a:extLst>
                </xdr:cNvPr>
                <xdr:cNvSpPr/>
              </xdr:nvSpPr>
              <xdr:spPr>
                <a:xfrm>
                  <a:off x="7246792" y="1215714"/>
                  <a:ext cx="2602058" cy="998848"/>
                </a:xfrm>
                <a:prstGeom prst="roundRect">
                  <a:avLst>
                    <a:gd name="adj" fmla="val 6048"/>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27E7B884-6DEF-02DD-80E5-F51086B7CB3E}"/>
                    </a:ext>
                  </a:extLst>
                </xdr:cNvPr>
                <xdr:cNvSpPr/>
              </xdr:nvSpPr>
              <xdr:spPr>
                <a:xfrm>
                  <a:off x="9947130" y="1215714"/>
                  <a:ext cx="2602058" cy="998848"/>
                </a:xfrm>
                <a:prstGeom prst="roundRect">
                  <a:avLst>
                    <a:gd name="adj" fmla="val 6048"/>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00A3DB2B-11EF-ED3D-AA41-E8556EF00697}"/>
                    </a:ext>
                  </a:extLst>
                </xdr:cNvPr>
                <xdr:cNvSpPr/>
              </xdr:nvSpPr>
              <xdr:spPr>
                <a:xfrm>
                  <a:off x="12647467" y="1215714"/>
                  <a:ext cx="2602058" cy="998848"/>
                </a:xfrm>
                <a:prstGeom prst="roundRect">
                  <a:avLst>
                    <a:gd name="adj" fmla="val 6048"/>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58054441-8D1B-335C-C1B0-09FF660B740D}"/>
                  </a:ext>
                </a:extLst>
              </xdr:cNvPr>
              <xdr:cNvGrpSpPr/>
            </xdr:nvGrpSpPr>
            <xdr:grpSpPr>
              <a:xfrm>
                <a:off x="1847145" y="5162550"/>
                <a:ext cx="3867930" cy="2709509"/>
                <a:chOff x="1847145" y="2304895"/>
                <a:chExt cx="3867930" cy="2772878"/>
              </a:xfrm>
              <a:grpFill/>
            </xdr:grpSpPr>
            <xdr:sp macro="" textlink="">
              <xdr:nvSpPr>
                <xdr:cNvPr id="22" name="Shape 91">
                  <a:extLst>
                    <a:ext uri="{FF2B5EF4-FFF2-40B4-BE49-F238E27FC236}">
                      <a16:creationId xmlns:a16="http://schemas.microsoft.com/office/drawing/2014/main" id="{07EA8DAC-6E56-F59D-D5A1-91C6F6D9D920}"/>
                    </a:ext>
                  </a:extLst>
                </xdr:cNvPr>
                <xdr:cNvSpPr/>
              </xdr:nvSpPr>
              <xdr:spPr>
                <a:xfrm>
                  <a:off x="1847145" y="2304895"/>
                  <a:ext cx="3867930" cy="2772878"/>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9585D721-7246-87BD-3E88-5723581096F1}"/>
                    </a:ext>
                  </a:extLst>
                </xdr:cNvPr>
                <xdr:cNvCxnSpPr/>
              </xdr:nvCxnSpPr>
              <xdr:spPr>
                <a:xfrm rot="10800000" flipH="1">
                  <a:off x="1963706" y="2678637"/>
                  <a:ext cx="3608419" cy="5300"/>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D1FE2669-AF09-E5FA-EF48-1131BFACF1F7}"/>
                  </a:ext>
                </a:extLst>
              </xdr:cNvPr>
              <xdr:cNvCxnSpPr/>
            </xdr:nvCxnSpPr>
            <xdr:spPr>
              <a:xfrm flipH="1">
                <a:off x="6021356" y="2667000"/>
                <a:ext cx="4464000" cy="2650"/>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068FD76C-4BEE-5615-58F5-18C70300ADFD}"/>
                  </a:ext>
                </a:extLst>
              </xdr:cNvPr>
              <xdr:cNvSpPr/>
            </xdr:nvSpPr>
            <xdr:spPr>
              <a:xfrm>
                <a:off x="10744199" y="2304895"/>
                <a:ext cx="4381501" cy="2772878"/>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CAD80D71-B0CE-2751-8FC5-4BB013618FCE}"/>
                  </a:ext>
                </a:extLst>
              </xdr:cNvPr>
              <xdr:cNvCxnSpPr/>
            </xdr:nvCxnSpPr>
            <xdr:spPr>
              <a:xfrm rot="10800000" flipH="1">
                <a:off x="10917205" y="2678637"/>
                <a:ext cx="4068000" cy="5300"/>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A950B1FD-8F74-E653-608D-BFEDAAAB6801}"/>
                  </a:ext>
                </a:extLst>
              </xdr:cNvPr>
              <xdr:cNvSpPr/>
            </xdr:nvSpPr>
            <xdr:spPr>
              <a:xfrm>
                <a:off x="1847145" y="2314575"/>
                <a:ext cx="3867930" cy="2754668"/>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AA240072-15BB-D3ED-5A55-1AC465F71CDB}"/>
                  </a:ext>
                </a:extLst>
              </xdr:cNvPr>
              <xdr:cNvCxnSpPr/>
            </xdr:nvCxnSpPr>
            <xdr:spPr>
              <a:xfrm rot="10800000" flipH="1">
                <a:off x="1963706" y="2666813"/>
                <a:ext cx="3608419" cy="5265"/>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D2D6B9E5-0385-53EC-C471-C6933BF4B071}"/>
                  </a:ext>
                </a:extLst>
              </xdr:cNvPr>
              <xdr:cNvSpPr/>
            </xdr:nvSpPr>
            <xdr:spPr>
              <a:xfrm>
                <a:off x="5809545" y="5162550"/>
                <a:ext cx="3564000" cy="2709509"/>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1F459560-BC02-BE82-1335-14E4F5E9609A}"/>
                  </a:ext>
                </a:extLst>
              </xdr:cNvPr>
              <xdr:cNvCxnSpPr/>
            </xdr:nvCxnSpPr>
            <xdr:spPr>
              <a:xfrm rot="10800000" flipH="1">
                <a:off x="6009569" y="5524500"/>
                <a:ext cx="3096000" cy="5179"/>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51ABDE53-370A-7868-5A36-985A252C7813}"/>
                  </a:ext>
                </a:extLst>
              </xdr:cNvPr>
              <xdr:cNvSpPr/>
            </xdr:nvSpPr>
            <xdr:spPr>
              <a:xfrm>
                <a:off x="9467145" y="5162550"/>
                <a:ext cx="2844000" cy="2700000"/>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FE46889B-D20E-488E-6C2D-281A14E96875}"/>
                  </a:ext>
                </a:extLst>
              </xdr:cNvPr>
              <xdr:cNvCxnSpPr/>
            </xdr:nvCxnSpPr>
            <xdr:spPr>
              <a:xfrm rot="10800000" flipH="1">
                <a:off x="9686219" y="5524500"/>
                <a:ext cx="2448000" cy="5179"/>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5B0BB430-77CC-7F99-44C1-CEB74ED5C955}"/>
                  </a:ext>
                </a:extLst>
              </xdr:cNvPr>
              <xdr:cNvSpPr/>
            </xdr:nvSpPr>
            <xdr:spPr>
              <a:xfrm>
                <a:off x="12419895" y="5162550"/>
                <a:ext cx="2700000" cy="2700000"/>
              </a:xfrm>
              <a:prstGeom prst="roundRect">
                <a:avLst>
                  <a:gd name="adj" fmla="val 3303"/>
                </a:avLst>
              </a:prstGeom>
              <a:grpFill/>
              <a:ln w="57150" cap="flat" cmpd="sng">
                <a:solidFill>
                  <a:schemeClr val="accent5">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27248968-D9B3-5A05-102A-36A25B9E8B00}"/>
                  </a:ext>
                </a:extLst>
              </xdr:cNvPr>
              <xdr:cNvCxnSpPr/>
            </xdr:nvCxnSpPr>
            <xdr:spPr>
              <a:xfrm rot="10800000" flipH="1">
                <a:off x="12543719" y="5514975"/>
                <a:ext cx="2448000" cy="5179"/>
              </a:xfrm>
              <a:prstGeom prst="straightConnector1">
                <a:avLst/>
              </a:prstGeom>
              <a:grpFill/>
              <a:ln w="12700" cap="flat" cmpd="sng">
                <a:solidFill>
                  <a:schemeClr val="accent5">
                    <a:lumMod val="50000"/>
                  </a:schemeClr>
                </a:solidFill>
                <a:prstDash val="solid"/>
                <a:miter lim="800000"/>
                <a:headEnd type="none" w="sm" len="sm"/>
                <a:tailEnd type="none" w="sm" len="sm"/>
              </a:ln>
            </xdr:spPr>
          </xdr:cxnSp>
        </xdr:grpSp>
      </xdr:grpSp>
      <xdr:sp macro="" textlink="">
        <xdr:nvSpPr>
          <xdr:cNvPr id="29" name="TextBox 28">
            <a:extLst>
              <a:ext uri="{FF2B5EF4-FFF2-40B4-BE49-F238E27FC236}">
                <a16:creationId xmlns:a16="http://schemas.microsoft.com/office/drawing/2014/main" id="{94C4C43F-1331-833A-2DC1-99E2FA053CC9}"/>
              </a:ext>
            </a:extLst>
          </xdr:cNvPr>
          <xdr:cNvSpPr txBox="1"/>
        </xdr:nvSpPr>
        <xdr:spPr>
          <a:xfrm>
            <a:off x="6025597" y="1532282"/>
            <a:ext cx="2857500"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latin typeface="Times New Roman" panose="02020603050405020304" pitchFamily="18" charset="0"/>
                <a:cs typeface="Times New Roman" panose="02020603050405020304" pitchFamily="18" charset="0"/>
              </a:rPr>
              <a:t>TOTAL EMPLOYEES</a:t>
            </a:r>
          </a:p>
        </xdr:txBody>
      </xdr:sp>
      <xdr:sp macro="" textlink="KPI!A8">
        <xdr:nvSpPr>
          <xdr:cNvPr id="30" name="TextBox 29">
            <a:extLst>
              <a:ext uri="{FF2B5EF4-FFF2-40B4-BE49-F238E27FC236}">
                <a16:creationId xmlns:a16="http://schemas.microsoft.com/office/drawing/2014/main" id="{7FDC4CDD-C454-FFDA-1907-E624BCB7CCC2}"/>
              </a:ext>
            </a:extLst>
          </xdr:cNvPr>
          <xdr:cNvSpPr txBox="1"/>
        </xdr:nvSpPr>
        <xdr:spPr>
          <a:xfrm>
            <a:off x="6108424" y="1822174"/>
            <a:ext cx="2691848"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9E37B0-FFE5-4FB6-A8C8-0E49D81B6652}" type="TxLink">
              <a:rPr lang="en-US" sz="3200" b="0" i="0" u="none" strike="noStrike">
                <a:solidFill>
                  <a:srgbClr val="002060"/>
                </a:solidFill>
                <a:latin typeface="Berlin Sans FB Demi" panose="020E0802020502020306" pitchFamily="34" charset="0"/>
                <a:cs typeface="Calibri"/>
              </a:rPr>
              <a:pPr algn="ctr"/>
              <a:t>1470</a:t>
            </a:fld>
            <a:endParaRPr lang="en-IN" sz="3200">
              <a:solidFill>
                <a:srgbClr val="002060"/>
              </a:solidFill>
              <a:latin typeface="Berlin Sans FB Demi" panose="020E0802020502020306" pitchFamily="34" charset="0"/>
            </a:endParaRPr>
          </a:p>
        </xdr:txBody>
      </xdr:sp>
      <xdr:sp macro="" textlink="">
        <xdr:nvSpPr>
          <xdr:cNvPr id="31" name="TextBox 30">
            <a:extLst>
              <a:ext uri="{FF2B5EF4-FFF2-40B4-BE49-F238E27FC236}">
                <a16:creationId xmlns:a16="http://schemas.microsoft.com/office/drawing/2014/main" id="{E178EFE1-62F3-448E-A66E-109D027EE520}"/>
              </a:ext>
            </a:extLst>
          </xdr:cNvPr>
          <xdr:cNvSpPr txBox="1"/>
        </xdr:nvSpPr>
        <xdr:spPr>
          <a:xfrm>
            <a:off x="9553161" y="1519029"/>
            <a:ext cx="2857500"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latin typeface="Times New Roman" panose="02020603050405020304" pitchFamily="18" charset="0"/>
                <a:cs typeface="Times New Roman" panose="02020603050405020304" pitchFamily="18" charset="0"/>
              </a:rPr>
              <a:t>ATTRITION</a:t>
            </a:r>
          </a:p>
        </xdr:txBody>
      </xdr:sp>
      <xdr:sp macro="" textlink="KPI!B8">
        <xdr:nvSpPr>
          <xdr:cNvPr id="32" name="TextBox 31">
            <a:extLst>
              <a:ext uri="{FF2B5EF4-FFF2-40B4-BE49-F238E27FC236}">
                <a16:creationId xmlns:a16="http://schemas.microsoft.com/office/drawing/2014/main" id="{9E735703-8A64-4253-8EDA-CC4C1FF475A9}"/>
              </a:ext>
            </a:extLst>
          </xdr:cNvPr>
          <xdr:cNvSpPr txBox="1"/>
        </xdr:nvSpPr>
        <xdr:spPr>
          <a:xfrm>
            <a:off x="9408216" y="1829628"/>
            <a:ext cx="2691848"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822CCF-6C03-43AA-903B-23FCCCA77945}" type="TxLink">
              <a:rPr lang="en-US" sz="3200" b="0" i="0" u="none" strike="noStrike">
                <a:solidFill>
                  <a:schemeClr val="accent1">
                    <a:lumMod val="50000"/>
                  </a:schemeClr>
                </a:solidFill>
                <a:latin typeface="Berlin Sans FB Demi" panose="020E0802020502020306" pitchFamily="34" charset="0"/>
                <a:cs typeface="Calibri"/>
              </a:rPr>
              <a:pPr algn="ctr"/>
              <a:t>237</a:t>
            </a:fld>
            <a:endParaRPr lang="en-IN" sz="3200">
              <a:solidFill>
                <a:schemeClr val="accent1">
                  <a:lumMod val="50000"/>
                </a:schemeClr>
              </a:solidFill>
              <a:latin typeface="Berlin Sans FB Demi" panose="020E0802020502020306" pitchFamily="34" charset="0"/>
            </a:endParaRPr>
          </a:p>
        </xdr:txBody>
      </xdr:sp>
      <xdr:sp macro="" textlink="">
        <xdr:nvSpPr>
          <xdr:cNvPr id="33" name="TextBox 32">
            <a:extLst>
              <a:ext uri="{FF2B5EF4-FFF2-40B4-BE49-F238E27FC236}">
                <a16:creationId xmlns:a16="http://schemas.microsoft.com/office/drawing/2014/main" id="{50B308EA-1F8C-4C97-9B02-94B8F8AE242B}"/>
              </a:ext>
            </a:extLst>
          </xdr:cNvPr>
          <xdr:cNvSpPr txBox="1"/>
        </xdr:nvSpPr>
        <xdr:spPr>
          <a:xfrm>
            <a:off x="12369243" y="1498325"/>
            <a:ext cx="2857500"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latin typeface="Times New Roman" panose="02020603050405020304" pitchFamily="18" charset="0"/>
                <a:cs typeface="Times New Roman" panose="02020603050405020304" pitchFamily="18" charset="0"/>
              </a:rPr>
              <a:t>ACTIVE EMPLOYEES</a:t>
            </a:r>
          </a:p>
        </xdr:txBody>
      </xdr:sp>
      <xdr:sp macro="" textlink="KPI!D8">
        <xdr:nvSpPr>
          <xdr:cNvPr id="34" name="TextBox 33">
            <a:extLst>
              <a:ext uri="{FF2B5EF4-FFF2-40B4-BE49-F238E27FC236}">
                <a16:creationId xmlns:a16="http://schemas.microsoft.com/office/drawing/2014/main" id="{8E1A93BF-D556-4ACA-BB26-8BFF86AB239B}"/>
              </a:ext>
            </a:extLst>
          </xdr:cNvPr>
          <xdr:cNvSpPr txBox="1"/>
        </xdr:nvSpPr>
        <xdr:spPr>
          <a:xfrm>
            <a:off x="12659139" y="1808922"/>
            <a:ext cx="2691848"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695FDC-595E-4F65-911F-59F75560CC35}" type="TxLink">
              <a:rPr lang="en-US" sz="3200" b="0" i="0" u="none" strike="noStrike">
                <a:solidFill>
                  <a:schemeClr val="accent1">
                    <a:lumMod val="50000"/>
                  </a:schemeClr>
                </a:solidFill>
                <a:latin typeface="Berlin Sans FB Demi" panose="020E0802020502020306" pitchFamily="34" charset="0"/>
                <a:cs typeface="Calibri"/>
              </a:rPr>
              <a:pPr algn="ctr"/>
              <a:t>1233</a:t>
            </a:fld>
            <a:endParaRPr lang="en-IN" sz="3200">
              <a:solidFill>
                <a:schemeClr val="accent1">
                  <a:lumMod val="50000"/>
                </a:schemeClr>
              </a:solidFill>
              <a:latin typeface="Berlin Sans FB Demi" panose="020E0802020502020306" pitchFamily="34" charset="0"/>
            </a:endParaRPr>
          </a:p>
        </xdr:txBody>
      </xdr:sp>
      <xdr:sp macro="" textlink="">
        <xdr:nvSpPr>
          <xdr:cNvPr id="35" name="TextBox 34">
            <a:extLst>
              <a:ext uri="{FF2B5EF4-FFF2-40B4-BE49-F238E27FC236}">
                <a16:creationId xmlns:a16="http://schemas.microsoft.com/office/drawing/2014/main" id="{5C53B8DD-0F34-4227-B8FF-2E1EE0B4646C}"/>
              </a:ext>
            </a:extLst>
          </xdr:cNvPr>
          <xdr:cNvSpPr txBox="1"/>
        </xdr:nvSpPr>
        <xdr:spPr>
          <a:xfrm>
            <a:off x="15640877" y="1498322"/>
            <a:ext cx="2857500"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latin typeface="Times New Roman" panose="02020603050405020304" pitchFamily="18" charset="0"/>
                <a:cs typeface="Times New Roman" panose="02020603050405020304" pitchFamily="18" charset="0"/>
              </a:rPr>
              <a:t>ATTRITION</a:t>
            </a:r>
            <a:r>
              <a:rPr lang="en-IN" sz="1600" b="1" baseline="0">
                <a:solidFill>
                  <a:srgbClr val="C00000"/>
                </a:solidFill>
                <a:latin typeface="Times New Roman" panose="02020603050405020304" pitchFamily="18" charset="0"/>
                <a:cs typeface="Times New Roman" panose="02020603050405020304" pitchFamily="18" charset="0"/>
              </a:rPr>
              <a:t> RATE</a:t>
            </a:r>
            <a:endParaRPr lang="en-IN" sz="1600" b="1">
              <a:solidFill>
                <a:srgbClr val="C00000"/>
              </a:solidFill>
              <a:latin typeface="Times New Roman" panose="02020603050405020304" pitchFamily="18" charset="0"/>
              <a:cs typeface="Times New Roman" panose="02020603050405020304" pitchFamily="18" charset="0"/>
            </a:endParaRPr>
          </a:p>
        </xdr:txBody>
      </xdr:sp>
      <xdr:sp macro="" textlink="KPI!E8">
        <xdr:nvSpPr>
          <xdr:cNvPr id="36" name="TextBox 35">
            <a:extLst>
              <a:ext uri="{FF2B5EF4-FFF2-40B4-BE49-F238E27FC236}">
                <a16:creationId xmlns:a16="http://schemas.microsoft.com/office/drawing/2014/main" id="{D0F3A6F2-AA7F-4FF0-8738-2B8B1074A7DC}"/>
              </a:ext>
            </a:extLst>
          </xdr:cNvPr>
          <xdr:cNvSpPr txBox="1"/>
        </xdr:nvSpPr>
        <xdr:spPr>
          <a:xfrm>
            <a:off x="15827237" y="1829628"/>
            <a:ext cx="2691848"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AE8061-00A3-4A4B-BEE5-141B40B4877F}" type="TxLink">
              <a:rPr lang="en-US" sz="3200" b="0" i="0" u="none" strike="noStrike">
                <a:solidFill>
                  <a:schemeClr val="accent1">
                    <a:lumMod val="50000"/>
                  </a:schemeClr>
                </a:solidFill>
                <a:latin typeface="Berlin Sans FB Demi" panose="020E0802020502020306" pitchFamily="34" charset="0"/>
                <a:cs typeface="Calibri"/>
              </a:rPr>
              <a:pPr algn="ctr"/>
              <a:t>16.12%</a:t>
            </a:fld>
            <a:endParaRPr lang="en-IN" sz="3200">
              <a:solidFill>
                <a:schemeClr val="accent1">
                  <a:lumMod val="50000"/>
                </a:schemeClr>
              </a:solidFill>
              <a:latin typeface="Berlin Sans FB Demi" panose="020E0802020502020306" pitchFamily="34" charset="0"/>
            </a:endParaRPr>
          </a:p>
        </xdr:txBody>
      </xdr:sp>
      <xdr:sp macro="" textlink="">
        <xdr:nvSpPr>
          <xdr:cNvPr id="37" name="TextBox 36">
            <a:extLst>
              <a:ext uri="{FF2B5EF4-FFF2-40B4-BE49-F238E27FC236}">
                <a16:creationId xmlns:a16="http://schemas.microsoft.com/office/drawing/2014/main" id="{A13113D4-6AC2-42C4-9588-4272FF067CCA}"/>
              </a:ext>
            </a:extLst>
          </xdr:cNvPr>
          <xdr:cNvSpPr txBox="1"/>
        </xdr:nvSpPr>
        <xdr:spPr>
          <a:xfrm>
            <a:off x="18871097" y="1498322"/>
            <a:ext cx="2857500"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latin typeface="Times New Roman" panose="02020603050405020304" pitchFamily="18" charset="0"/>
                <a:cs typeface="Times New Roman" panose="02020603050405020304" pitchFamily="18" charset="0"/>
              </a:rPr>
              <a:t>AVERAGE</a:t>
            </a:r>
            <a:r>
              <a:rPr lang="en-IN" sz="1600" b="1" baseline="0">
                <a:solidFill>
                  <a:srgbClr val="C00000"/>
                </a:solidFill>
                <a:latin typeface="Times New Roman" panose="02020603050405020304" pitchFamily="18" charset="0"/>
                <a:cs typeface="Times New Roman" panose="02020603050405020304" pitchFamily="18" charset="0"/>
              </a:rPr>
              <a:t> AGE</a:t>
            </a:r>
            <a:endParaRPr lang="en-IN" sz="1600" b="1">
              <a:solidFill>
                <a:srgbClr val="C00000"/>
              </a:solidFill>
              <a:latin typeface="Times New Roman" panose="02020603050405020304" pitchFamily="18" charset="0"/>
              <a:cs typeface="Times New Roman" panose="02020603050405020304" pitchFamily="18" charset="0"/>
            </a:endParaRPr>
          </a:p>
        </xdr:txBody>
      </xdr:sp>
      <xdr:sp macro="" textlink="KPI!C8">
        <xdr:nvSpPr>
          <xdr:cNvPr id="38" name="TextBox 37">
            <a:extLst>
              <a:ext uri="{FF2B5EF4-FFF2-40B4-BE49-F238E27FC236}">
                <a16:creationId xmlns:a16="http://schemas.microsoft.com/office/drawing/2014/main" id="{97C1E05F-7C4C-4F7E-BAD0-EA8EEBE960DF}"/>
              </a:ext>
            </a:extLst>
          </xdr:cNvPr>
          <xdr:cNvSpPr txBox="1"/>
        </xdr:nvSpPr>
        <xdr:spPr>
          <a:xfrm>
            <a:off x="18850389" y="1829628"/>
            <a:ext cx="2691848"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C16479-7A1B-4DA3-AFDE-AB42ADE4E19F}" type="TxLink">
              <a:rPr lang="en-US" sz="3200" b="0" i="0" u="none" strike="noStrike">
                <a:solidFill>
                  <a:schemeClr val="accent1">
                    <a:lumMod val="50000"/>
                  </a:schemeClr>
                </a:solidFill>
                <a:latin typeface="Berlin Sans FB Demi" panose="020E0802020502020306" pitchFamily="34" charset="0"/>
                <a:cs typeface="Calibri"/>
              </a:rPr>
              <a:pPr algn="ctr"/>
              <a:t>37</a:t>
            </a:fld>
            <a:endParaRPr lang="en-IN" sz="3200">
              <a:solidFill>
                <a:schemeClr val="accent1">
                  <a:lumMod val="50000"/>
                </a:schemeClr>
              </a:solidFill>
              <a:latin typeface="Berlin Sans FB Demi" panose="020E0802020502020306" pitchFamily="34" charset="0"/>
            </a:endParaRPr>
          </a:p>
        </xdr:txBody>
      </xdr:sp>
      <xdr:pic>
        <xdr:nvPicPr>
          <xdr:cNvPr id="39" name="image4.png">
            <a:extLst>
              <a:ext uri="{FF2B5EF4-FFF2-40B4-BE49-F238E27FC236}">
                <a16:creationId xmlns:a16="http://schemas.microsoft.com/office/drawing/2014/main" id="{190D29F3-D3AC-437C-A592-ED09CA1803EB}"/>
              </a:ext>
            </a:extLst>
          </xdr:cNvPr>
          <xdr:cNvPicPr preferRelativeResize="0"/>
        </xdr:nvPicPr>
        <xdr:blipFill>
          <a:blip xmlns:r="http://schemas.openxmlformats.org/officeDocument/2006/relationships" r:embed="rId1" cstate="print"/>
          <a:stretch>
            <a:fillRect/>
          </a:stretch>
        </xdr:blipFill>
        <xdr:spPr>
          <a:xfrm>
            <a:off x="8510381" y="1532282"/>
            <a:ext cx="393424" cy="393424"/>
          </a:xfrm>
          <a:prstGeom prst="rect">
            <a:avLst/>
          </a:prstGeom>
          <a:noFill/>
        </xdr:spPr>
      </xdr:pic>
      <xdr:pic>
        <xdr:nvPicPr>
          <xdr:cNvPr id="40" name="image5.png">
            <a:extLst>
              <a:ext uri="{FF2B5EF4-FFF2-40B4-BE49-F238E27FC236}">
                <a16:creationId xmlns:a16="http://schemas.microsoft.com/office/drawing/2014/main" id="{26F41F51-966A-4DEC-986D-0D8A571454B4}"/>
              </a:ext>
            </a:extLst>
          </xdr:cNvPr>
          <xdr:cNvPicPr preferRelativeResize="0"/>
        </xdr:nvPicPr>
        <xdr:blipFill>
          <a:blip xmlns:r="http://schemas.openxmlformats.org/officeDocument/2006/relationships" r:embed="rId2" cstate="print"/>
          <a:stretch>
            <a:fillRect/>
          </a:stretch>
        </xdr:blipFill>
        <xdr:spPr>
          <a:xfrm>
            <a:off x="14867283" y="1532283"/>
            <a:ext cx="439805" cy="352010"/>
          </a:xfrm>
          <a:prstGeom prst="rect">
            <a:avLst/>
          </a:prstGeom>
          <a:noFill/>
        </xdr:spPr>
      </xdr:pic>
      <xdr:pic>
        <xdr:nvPicPr>
          <xdr:cNvPr id="42" name="image2.png">
            <a:extLst>
              <a:ext uri="{FF2B5EF4-FFF2-40B4-BE49-F238E27FC236}">
                <a16:creationId xmlns:a16="http://schemas.microsoft.com/office/drawing/2014/main" id="{A32A930D-1DD6-409E-887A-31598EFD804D}"/>
              </a:ext>
            </a:extLst>
          </xdr:cNvPr>
          <xdr:cNvPicPr preferRelativeResize="0"/>
        </xdr:nvPicPr>
        <xdr:blipFill>
          <a:blip xmlns:r="http://schemas.openxmlformats.org/officeDocument/2006/relationships" r:embed="rId3" cstate="print"/>
          <a:stretch>
            <a:fillRect/>
          </a:stretch>
        </xdr:blipFill>
        <xdr:spPr>
          <a:xfrm>
            <a:off x="17931847" y="1532283"/>
            <a:ext cx="517663" cy="414130"/>
          </a:xfrm>
          <a:prstGeom prst="rect">
            <a:avLst/>
          </a:prstGeom>
          <a:noFill/>
        </xdr:spPr>
      </xdr:pic>
      <xdr:pic>
        <xdr:nvPicPr>
          <xdr:cNvPr id="43" name="image6.png">
            <a:extLst>
              <a:ext uri="{FF2B5EF4-FFF2-40B4-BE49-F238E27FC236}">
                <a16:creationId xmlns:a16="http://schemas.microsoft.com/office/drawing/2014/main" id="{9490A014-701D-4C91-B820-7BD12B5E665D}"/>
              </a:ext>
            </a:extLst>
          </xdr:cNvPr>
          <xdr:cNvPicPr preferRelativeResize="0"/>
        </xdr:nvPicPr>
        <xdr:blipFill>
          <a:blip xmlns:r="http://schemas.openxmlformats.org/officeDocument/2006/relationships" r:embed="rId4" cstate="print"/>
          <a:stretch>
            <a:fillRect/>
          </a:stretch>
        </xdr:blipFill>
        <xdr:spPr>
          <a:xfrm>
            <a:off x="20810054" y="1511576"/>
            <a:ext cx="496957" cy="414132"/>
          </a:xfrm>
          <a:prstGeom prst="rect">
            <a:avLst/>
          </a:prstGeom>
          <a:noFill/>
        </xdr:spPr>
      </xdr:pic>
      <xdr:pic>
        <xdr:nvPicPr>
          <xdr:cNvPr id="44" name="image7.png">
            <a:extLst>
              <a:ext uri="{FF2B5EF4-FFF2-40B4-BE49-F238E27FC236}">
                <a16:creationId xmlns:a16="http://schemas.microsoft.com/office/drawing/2014/main" id="{E39A5692-9C17-4F49-B464-463B4D5460FA}"/>
              </a:ext>
            </a:extLst>
          </xdr:cNvPr>
          <xdr:cNvPicPr preferRelativeResize="0"/>
        </xdr:nvPicPr>
        <xdr:blipFill>
          <a:blip xmlns:r="http://schemas.openxmlformats.org/officeDocument/2006/relationships" r:embed="rId5" cstate="print"/>
          <a:stretch>
            <a:fillRect/>
          </a:stretch>
        </xdr:blipFill>
        <xdr:spPr>
          <a:xfrm>
            <a:off x="11429999" y="1490869"/>
            <a:ext cx="621196" cy="517663"/>
          </a:xfrm>
          <a:prstGeom prst="rect">
            <a:avLst/>
          </a:prstGeom>
          <a:noFill/>
        </xdr:spPr>
      </xdr:pic>
      <xdr:sp macro="" textlink="">
        <xdr:nvSpPr>
          <xdr:cNvPr id="41" name="TextBox 40">
            <a:extLst>
              <a:ext uri="{FF2B5EF4-FFF2-40B4-BE49-F238E27FC236}">
                <a16:creationId xmlns:a16="http://schemas.microsoft.com/office/drawing/2014/main" id="{9B05B56A-581A-76AC-3FCF-6DAC72E0650D}"/>
              </a:ext>
            </a:extLst>
          </xdr:cNvPr>
          <xdr:cNvSpPr txBox="1"/>
        </xdr:nvSpPr>
        <xdr:spPr>
          <a:xfrm>
            <a:off x="6439728" y="600489"/>
            <a:ext cx="8593207" cy="621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accent1">
                    <a:lumMod val="50000"/>
                  </a:schemeClr>
                </a:solidFill>
                <a:latin typeface="Times New Roman" panose="02020603050405020304" pitchFamily="18" charset="0"/>
                <a:cs typeface="Times New Roman" panose="02020603050405020304" pitchFamily="18" charset="0"/>
              </a:rPr>
              <a:t>HR ANALYITICS DASHBOARD</a:t>
            </a:r>
          </a:p>
        </xdr:txBody>
      </xdr:sp>
      <xdr:pic>
        <xdr:nvPicPr>
          <xdr:cNvPr id="45" name="image1.png">
            <a:extLst>
              <a:ext uri="{FF2B5EF4-FFF2-40B4-BE49-F238E27FC236}">
                <a16:creationId xmlns:a16="http://schemas.microsoft.com/office/drawing/2014/main" id="{5A552330-E9CE-4BE5-8309-04223E55FA24}"/>
              </a:ext>
            </a:extLst>
          </xdr:cNvPr>
          <xdr:cNvPicPr preferRelativeResize="0"/>
        </xdr:nvPicPr>
        <xdr:blipFill>
          <a:blip xmlns:r="http://schemas.openxmlformats.org/officeDocument/2006/relationships" r:embed="rId6" cstate="print"/>
          <a:stretch>
            <a:fillRect/>
          </a:stretch>
        </xdr:blipFill>
        <xdr:spPr>
          <a:xfrm>
            <a:off x="6129130" y="662609"/>
            <a:ext cx="542925" cy="523875"/>
          </a:xfrm>
          <a:prstGeom prst="rect">
            <a:avLst/>
          </a:prstGeom>
          <a:noFill/>
        </xdr:spPr>
      </xdr:pic>
      <xdr:pic>
        <xdr:nvPicPr>
          <xdr:cNvPr id="46" name="image3.png">
            <a:extLst>
              <a:ext uri="{FF2B5EF4-FFF2-40B4-BE49-F238E27FC236}">
                <a16:creationId xmlns:a16="http://schemas.microsoft.com/office/drawing/2014/main" id="{A72B2237-E8F4-4756-8362-0F6E07698D9B}"/>
              </a:ext>
            </a:extLst>
          </xdr:cNvPr>
          <xdr:cNvPicPr preferRelativeResize="0"/>
        </xdr:nvPicPr>
        <xdr:blipFill>
          <a:blip xmlns:r="http://schemas.openxmlformats.org/officeDocument/2006/relationships" r:embed="rId7" cstate="print"/>
          <a:stretch>
            <a:fillRect/>
          </a:stretch>
        </xdr:blipFill>
        <xdr:spPr>
          <a:xfrm>
            <a:off x="15467772" y="559075"/>
            <a:ext cx="600489" cy="683315"/>
          </a:xfrm>
          <a:prstGeom prst="rect">
            <a:avLst/>
          </a:prstGeom>
          <a:noFill/>
        </xdr:spPr>
      </xdr:pic>
      <xdr:sp macro="" textlink="">
        <xdr:nvSpPr>
          <xdr:cNvPr id="47" name="TextBox 46">
            <a:extLst>
              <a:ext uri="{FF2B5EF4-FFF2-40B4-BE49-F238E27FC236}">
                <a16:creationId xmlns:a16="http://schemas.microsoft.com/office/drawing/2014/main" id="{A51241A4-2914-EEEE-F5D3-654665F0EFCB}"/>
              </a:ext>
            </a:extLst>
          </xdr:cNvPr>
          <xdr:cNvSpPr txBox="1"/>
        </xdr:nvSpPr>
        <xdr:spPr>
          <a:xfrm>
            <a:off x="16151085" y="496952"/>
            <a:ext cx="1884282" cy="807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C00000"/>
                </a:solidFill>
                <a:latin typeface="Times New Roman" panose="02020603050405020304" pitchFamily="18" charset="0"/>
                <a:cs typeface="Times New Roman" panose="02020603050405020304" pitchFamily="18" charset="0"/>
              </a:rPr>
              <a:t>JOB</a:t>
            </a:r>
          </a:p>
          <a:p>
            <a:pPr algn="ctr"/>
            <a:r>
              <a:rPr lang="en-IN" sz="1600">
                <a:solidFill>
                  <a:srgbClr val="C00000"/>
                </a:solidFill>
                <a:latin typeface="Times New Roman" panose="02020603050405020304" pitchFamily="18" charset="0"/>
                <a:cs typeface="Times New Roman" panose="02020603050405020304" pitchFamily="18" charset="0"/>
              </a:rPr>
              <a:t>SATISFACTION</a:t>
            </a:r>
          </a:p>
          <a:p>
            <a:pPr algn="ctr"/>
            <a:r>
              <a:rPr lang="en-IN" sz="1600">
                <a:solidFill>
                  <a:srgbClr val="C00000"/>
                </a:solidFill>
                <a:latin typeface="Times New Roman" panose="02020603050405020304" pitchFamily="18" charset="0"/>
                <a:cs typeface="Times New Roman" panose="02020603050405020304" pitchFamily="18" charset="0"/>
              </a:rPr>
              <a:t>RATING</a:t>
            </a:r>
          </a:p>
        </xdr:txBody>
      </xdr:sp>
      <xdr:graphicFrame macro="">
        <xdr:nvGraphicFramePr>
          <xdr:cNvPr id="48" name="Chart 47">
            <a:extLst>
              <a:ext uri="{FF2B5EF4-FFF2-40B4-BE49-F238E27FC236}">
                <a16:creationId xmlns:a16="http://schemas.microsoft.com/office/drawing/2014/main" id="{245F49BF-41C9-4708-AC2B-AA18B8784587}"/>
              </a:ext>
            </a:extLst>
          </xdr:cNvPr>
          <xdr:cNvGraphicFramePr>
            <a:graphicFrameLocks/>
          </xdr:cNvGraphicFramePr>
        </xdr:nvGraphicFramePr>
        <xdr:xfrm>
          <a:off x="17766196" y="434840"/>
          <a:ext cx="1635813" cy="911083"/>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6">
        <xdr:nvSpPr>
          <xdr:cNvPr id="49" name="TextBox 48">
            <a:extLst>
              <a:ext uri="{FF2B5EF4-FFF2-40B4-BE49-F238E27FC236}">
                <a16:creationId xmlns:a16="http://schemas.microsoft.com/office/drawing/2014/main" id="{6B232242-CD67-ABD6-3AAE-8612BEEC4B5C}"/>
              </a:ext>
            </a:extLst>
          </xdr:cNvPr>
          <xdr:cNvSpPr txBox="1"/>
        </xdr:nvSpPr>
        <xdr:spPr>
          <a:xfrm>
            <a:off x="18325272" y="704022"/>
            <a:ext cx="869674" cy="455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9DDE14-3509-4071-AB59-5DE2AB3B8141}" type="TxLink">
              <a:rPr lang="en-US" sz="2000" b="0" i="0" u="none" strike="noStrike">
                <a:solidFill>
                  <a:srgbClr val="002060"/>
                </a:solidFill>
                <a:latin typeface="Berlin Sans FB Demi" panose="020E0802020502020306" pitchFamily="34" charset="0"/>
                <a:cs typeface="Calibri"/>
              </a:rPr>
              <a:pPr/>
              <a:t>2.6</a:t>
            </a:fld>
            <a:endParaRPr lang="en-IN" sz="2000">
              <a:solidFill>
                <a:srgbClr val="002060"/>
              </a:solidFill>
              <a:latin typeface="Berlin Sans FB Demi" panose="020E0802020502020306" pitchFamily="34" charset="0"/>
            </a:endParaRPr>
          </a:p>
        </xdr:txBody>
      </xdr:sp>
      <xdr:graphicFrame macro="">
        <xdr:nvGraphicFramePr>
          <xdr:cNvPr id="51" name="Chart 50">
            <a:extLst>
              <a:ext uri="{FF2B5EF4-FFF2-40B4-BE49-F238E27FC236}">
                <a16:creationId xmlns:a16="http://schemas.microsoft.com/office/drawing/2014/main" id="{2980CB75-36BE-4FE6-92BC-9A7F038B73EE}"/>
              </a:ext>
            </a:extLst>
          </xdr:cNvPr>
          <xdr:cNvGraphicFramePr>
            <a:graphicFrameLocks/>
          </xdr:cNvGraphicFramePr>
        </xdr:nvGraphicFramePr>
        <xdr:xfrm>
          <a:off x="18967176" y="559078"/>
          <a:ext cx="2546902" cy="70402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0" name="Freeform: Shape 49">
            <a:extLst>
              <a:ext uri="{FF2B5EF4-FFF2-40B4-BE49-F238E27FC236}">
                <a16:creationId xmlns:a16="http://schemas.microsoft.com/office/drawing/2014/main" id="{58293CF0-A062-CAA2-CF54-5F4542F7F39A}"/>
              </a:ext>
            </a:extLst>
          </xdr:cNvPr>
          <xdr:cNvSpPr/>
        </xdr:nvSpPr>
        <xdr:spPr>
          <a:xfrm>
            <a:off x="19070707" y="600489"/>
            <a:ext cx="2360543" cy="621196"/>
          </a:xfrm>
          <a:custGeom>
            <a:avLst/>
            <a:gdLst>
              <a:gd name="csX0" fmla="*/ 3281516 w 3687096"/>
              <a:gd name="csY0" fmla="*/ 0 h 690203"/>
              <a:gd name="csX1" fmla="*/ 3687096 w 3687096"/>
              <a:gd name="csY1" fmla="*/ 0 h 690203"/>
              <a:gd name="csX2" fmla="*/ 3687096 w 3687096"/>
              <a:gd name="csY2" fmla="*/ 263633 h 690203"/>
              <a:gd name="csX3" fmla="*/ 3377259 w 3687096"/>
              <a:gd name="csY3" fmla="*/ 263635 h 690203"/>
              <a:gd name="csX4" fmla="*/ 0 w 3687096"/>
              <a:gd name="csY4" fmla="*/ 0 h 690203"/>
              <a:gd name="csX5" fmla="*/ 405581 w 3687096"/>
              <a:gd name="csY5" fmla="*/ 0 h 690203"/>
              <a:gd name="csX6" fmla="*/ 309838 w 3687096"/>
              <a:gd name="csY6" fmla="*/ 263635 h 690203"/>
              <a:gd name="csX7" fmla="*/ 1 w 3687096"/>
              <a:gd name="csY7" fmla="*/ 263633 h 690203"/>
              <a:gd name="csX8" fmla="*/ 250666 w 3687096"/>
              <a:gd name="csY8" fmla="*/ 426567 h 690203"/>
              <a:gd name="csX9" fmla="*/ 154919 w 3687096"/>
              <a:gd name="csY9" fmla="*/ 690201 h 690203"/>
              <a:gd name="csX10" fmla="*/ 405581 w 3687096"/>
              <a:gd name="csY10" fmla="*/ 527265 h 690203"/>
              <a:gd name="csX11" fmla="*/ 656243 w 3687096"/>
              <a:gd name="csY11" fmla="*/ 690201 h 690203"/>
              <a:gd name="csX12" fmla="*/ 560496 w 3687096"/>
              <a:gd name="csY12" fmla="*/ 426567 h 690203"/>
              <a:gd name="csX13" fmla="*/ 811161 w 3687096"/>
              <a:gd name="csY13" fmla="*/ 263633 h 690203"/>
              <a:gd name="csX14" fmla="*/ 501324 w 3687096"/>
              <a:gd name="csY14" fmla="*/ 263635 h 690203"/>
              <a:gd name="csX15" fmla="*/ 405581 w 3687096"/>
              <a:gd name="csY15" fmla="*/ 0 h 690203"/>
              <a:gd name="csX16" fmla="*/ 1359309 w 3687096"/>
              <a:gd name="csY16" fmla="*/ 0 h 690203"/>
              <a:gd name="csX17" fmla="*/ 1263566 w 3687096"/>
              <a:gd name="csY17" fmla="*/ 263635 h 690203"/>
              <a:gd name="csX18" fmla="*/ 953729 w 3687096"/>
              <a:gd name="csY18" fmla="*/ 263633 h 690203"/>
              <a:gd name="csX19" fmla="*/ 1204394 w 3687096"/>
              <a:gd name="csY19" fmla="*/ 426567 h 690203"/>
              <a:gd name="csX20" fmla="*/ 1108647 w 3687096"/>
              <a:gd name="csY20" fmla="*/ 690201 h 690203"/>
              <a:gd name="csX21" fmla="*/ 1359309 w 3687096"/>
              <a:gd name="csY21" fmla="*/ 527265 h 690203"/>
              <a:gd name="csX22" fmla="*/ 1609971 w 3687096"/>
              <a:gd name="csY22" fmla="*/ 690201 h 690203"/>
              <a:gd name="csX23" fmla="*/ 1514224 w 3687096"/>
              <a:gd name="csY23" fmla="*/ 426567 h 690203"/>
              <a:gd name="csX24" fmla="*/ 1764889 w 3687096"/>
              <a:gd name="csY24" fmla="*/ 263633 h 690203"/>
              <a:gd name="csX25" fmla="*/ 1455052 w 3687096"/>
              <a:gd name="csY25" fmla="*/ 263635 h 690203"/>
              <a:gd name="csX26" fmla="*/ 1359309 w 3687096"/>
              <a:gd name="csY26" fmla="*/ 0 h 690203"/>
              <a:gd name="csX27" fmla="*/ 2313038 w 3687096"/>
              <a:gd name="csY27" fmla="*/ 0 h 690203"/>
              <a:gd name="csX28" fmla="*/ 2217295 w 3687096"/>
              <a:gd name="csY28" fmla="*/ 263635 h 690203"/>
              <a:gd name="csX29" fmla="*/ 1907458 w 3687096"/>
              <a:gd name="csY29" fmla="*/ 263633 h 690203"/>
              <a:gd name="csX30" fmla="*/ 2158123 w 3687096"/>
              <a:gd name="csY30" fmla="*/ 426567 h 690203"/>
              <a:gd name="csX31" fmla="*/ 2062376 w 3687096"/>
              <a:gd name="csY31" fmla="*/ 690201 h 690203"/>
              <a:gd name="csX32" fmla="*/ 2313038 w 3687096"/>
              <a:gd name="csY32" fmla="*/ 527265 h 690203"/>
              <a:gd name="csX33" fmla="*/ 2563700 w 3687096"/>
              <a:gd name="csY33" fmla="*/ 690201 h 690203"/>
              <a:gd name="csX34" fmla="*/ 2467953 w 3687096"/>
              <a:gd name="csY34" fmla="*/ 426567 h 690203"/>
              <a:gd name="csX35" fmla="*/ 2718618 w 3687096"/>
              <a:gd name="csY35" fmla="*/ 263633 h 690203"/>
              <a:gd name="csX36" fmla="*/ 2408781 w 3687096"/>
              <a:gd name="csY36" fmla="*/ 263635 h 690203"/>
              <a:gd name="csX37" fmla="*/ 2313038 w 3687096"/>
              <a:gd name="csY37" fmla="*/ 0 h 690203"/>
              <a:gd name="csX38" fmla="*/ 3281516 w 3687096"/>
              <a:gd name="csY38" fmla="*/ 0 h 690203"/>
              <a:gd name="csX39" fmla="*/ 3185773 w 3687096"/>
              <a:gd name="csY39" fmla="*/ 263635 h 690203"/>
              <a:gd name="csX40" fmla="*/ 2875936 w 3687096"/>
              <a:gd name="csY40" fmla="*/ 263633 h 690203"/>
              <a:gd name="csX41" fmla="*/ 3126601 w 3687096"/>
              <a:gd name="csY41" fmla="*/ 426567 h 690203"/>
              <a:gd name="csX42" fmla="*/ 3030854 w 3687096"/>
              <a:gd name="csY42" fmla="*/ 690201 h 690203"/>
              <a:gd name="csX43" fmla="*/ 3281516 w 3687096"/>
              <a:gd name="csY43" fmla="*/ 527265 h 690203"/>
              <a:gd name="csX44" fmla="*/ 3532178 w 3687096"/>
              <a:gd name="csY44" fmla="*/ 690201 h 690203"/>
              <a:gd name="csX45" fmla="*/ 3436431 w 3687096"/>
              <a:gd name="csY45" fmla="*/ 426567 h 690203"/>
              <a:gd name="csX46" fmla="*/ 3687096 w 3687096"/>
              <a:gd name="csY46" fmla="*/ 263633 h 690203"/>
              <a:gd name="csX47" fmla="*/ 3687096 w 3687096"/>
              <a:gd name="csY47" fmla="*/ 690203 h 690203"/>
              <a:gd name="csX48" fmla="*/ 0 w 3687096"/>
              <a:gd name="csY48" fmla="*/ 690203 h 6902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3687096" h="690203">
                <a:moveTo>
                  <a:pt x="3281516" y="0"/>
                </a:moveTo>
                <a:lnTo>
                  <a:pt x="3687096" y="0"/>
                </a:lnTo>
                <a:lnTo>
                  <a:pt x="3687096" y="263633"/>
                </a:lnTo>
                <a:lnTo>
                  <a:pt x="3377259" y="263635"/>
                </a:lnTo>
                <a:close/>
                <a:moveTo>
                  <a:pt x="0" y="0"/>
                </a:moveTo>
                <a:lnTo>
                  <a:pt x="405581" y="0"/>
                </a:lnTo>
                <a:lnTo>
                  <a:pt x="309838" y="263635"/>
                </a:lnTo>
                <a:lnTo>
                  <a:pt x="1" y="263633"/>
                </a:lnTo>
                <a:lnTo>
                  <a:pt x="250666" y="426567"/>
                </a:lnTo>
                <a:lnTo>
                  <a:pt x="154919" y="690201"/>
                </a:lnTo>
                <a:lnTo>
                  <a:pt x="405581" y="527265"/>
                </a:lnTo>
                <a:lnTo>
                  <a:pt x="656243" y="690201"/>
                </a:lnTo>
                <a:lnTo>
                  <a:pt x="560496" y="426567"/>
                </a:lnTo>
                <a:lnTo>
                  <a:pt x="811161" y="263633"/>
                </a:lnTo>
                <a:lnTo>
                  <a:pt x="501324" y="263635"/>
                </a:lnTo>
                <a:lnTo>
                  <a:pt x="405581" y="0"/>
                </a:lnTo>
                <a:lnTo>
                  <a:pt x="1359309" y="0"/>
                </a:lnTo>
                <a:lnTo>
                  <a:pt x="1263566" y="263635"/>
                </a:lnTo>
                <a:lnTo>
                  <a:pt x="953729" y="263633"/>
                </a:lnTo>
                <a:lnTo>
                  <a:pt x="1204394" y="426567"/>
                </a:lnTo>
                <a:lnTo>
                  <a:pt x="1108647" y="690201"/>
                </a:lnTo>
                <a:lnTo>
                  <a:pt x="1359309" y="527265"/>
                </a:lnTo>
                <a:lnTo>
                  <a:pt x="1609971" y="690201"/>
                </a:lnTo>
                <a:lnTo>
                  <a:pt x="1514224" y="426567"/>
                </a:lnTo>
                <a:lnTo>
                  <a:pt x="1764889" y="263633"/>
                </a:lnTo>
                <a:lnTo>
                  <a:pt x="1455052" y="263635"/>
                </a:lnTo>
                <a:lnTo>
                  <a:pt x="1359309" y="0"/>
                </a:lnTo>
                <a:lnTo>
                  <a:pt x="2313038" y="0"/>
                </a:lnTo>
                <a:lnTo>
                  <a:pt x="2217295" y="263635"/>
                </a:lnTo>
                <a:lnTo>
                  <a:pt x="1907458" y="263633"/>
                </a:lnTo>
                <a:lnTo>
                  <a:pt x="2158123" y="426567"/>
                </a:lnTo>
                <a:lnTo>
                  <a:pt x="2062376" y="690201"/>
                </a:lnTo>
                <a:lnTo>
                  <a:pt x="2313038" y="527265"/>
                </a:lnTo>
                <a:lnTo>
                  <a:pt x="2563700" y="690201"/>
                </a:lnTo>
                <a:lnTo>
                  <a:pt x="2467953" y="426567"/>
                </a:lnTo>
                <a:lnTo>
                  <a:pt x="2718618" y="263633"/>
                </a:lnTo>
                <a:lnTo>
                  <a:pt x="2408781" y="263635"/>
                </a:lnTo>
                <a:lnTo>
                  <a:pt x="2313038" y="0"/>
                </a:lnTo>
                <a:lnTo>
                  <a:pt x="3281516" y="0"/>
                </a:lnTo>
                <a:lnTo>
                  <a:pt x="3185773" y="263635"/>
                </a:lnTo>
                <a:lnTo>
                  <a:pt x="2875936" y="263633"/>
                </a:lnTo>
                <a:lnTo>
                  <a:pt x="3126601" y="426567"/>
                </a:lnTo>
                <a:lnTo>
                  <a:pt x="3030854" y="690201"/>
                </a:lnTo>
                <a:lnTo>
                  <a:pt x="3281516" y="527265"/>
                </a:lnTo>
                <a:lnTo>
                  <a:pt x="3532178" y="690201"/>
                </a:lnTo>
                <a:lnTo>
                  <a:pt x="3436431" y="426567"/>
                </a:lnTo>
                <a:lnTo>
                  <a:pt x="3687096" y="263633"/>
                </a:lnTo>
                <a:lnTo>
                  <a:pt x="3687096" y="690203"/>
                </a:lnTo>
                <a:lnTo>
                  <a:pt x="0" y="690203"/>
                </a:lnTo>
                <a:close/>
              </a:path>
            </a:pathLst>
          </a:custGeom>
          <a:solidFill>
            <a:schemeClr val="bg1">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1" name="Group 60">
            <a:extLst>
              <a:ext uri="{FF2B5EF4-FFF2-40B4-BE49-F238E27FC236}">
                <a16:creationId xmlns:a16="http://schemas.microsoft.com/office/drawing/2014/main" id="{CE4363B1-51A7-B950-8EB5-1035FB9626D0}"/>
              </a:ext>
            </a:extLst>
          </xdr:cNvPr>
          <xdr:cNvGrpSpPr/>
        </xdr:nvGrpSpPr>
        <xdr:grpSpPr>
          <a:xfrm>
            <a:off x="5673592" y="3571878"/>
            <a:ext cx="5135218" cy="1656521"/>
            <a:chOff x="5673592" y="3571878"/>
            <a:chExt cx="5135218" cy="1656521"/>
          </a:xfrm>
        </xdr:grpSpPr>
        <xdr:graphicFrame macro="">
          <xdr:nvGraphicFramePr>
            <xdr:cNvPr id="52" name="Chart 51">
              <a:extLst>
                <a:ext uri="{FF2B5EF4-FFF2-40B4-BE49-F238E27FC236}">
                  <a16:creationId xmlns:a16="http://schemas.microsoft.com/office/drawing/2014/main" id="{AF6F6421-F1F3-4839-9CCF-EC86EA313EC5}"/>
                </a:ext>
              </a:extLst>
            </xdr:cNvPr>
            <xdr:cNvGraphicFramePr>
              <a:graphicFrameLocks/>
            </xdr:cNvGraphicFramePr>
          </xdr:nvGraphicFramePr>
          <xdr:xfrm>
            <a:off x="5673592" y="3571878"/>
            <a:ext cx="2112065" cy="165652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a:extLst>
                <a:ext uri="{FF2B5EF4-FFF2-40B4-BE49-F238E27FC236}">
                  <a16:creationId xmlns:a16="http://schemas.microsoft.com/office/drawing/2014/main" id="{4A1BA954-ABC5-4F68-820C-E1294FA233B8}"/>
                </a:ext>
              </a:extLst>
            </xdr:cNvPr>
            <xdr:cNvGraphicFramePr>
              <a:graphicFrameLocks/>
            </xdr:cNvGraphicFramePr>
          </xdr:nvGraphicFramePr>
          <xdr:xfrm>
            <a:off x="8696745" y="3571878"/>
            <a:ext cx="2112065" cy="1656521"/>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7" name="Graphic 56" descr="Male profile with solid fill">
              <a:extLst>
                <a:ext uri="{FF2B5EF4-FFF2-40B4-BE49-F238E27FC236}">
                  <a16:creationId xmlns:a16="http://schemas.microsoft.com/office/drawing/2014/main" id="{6DABAE60-AAA5-C4B5-D5E9-C74087FF43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329077" y="3967827"/>
              <a:ext cx="792000" cy="792000"/>
            </a:xfrm>
            <a:prstGeom prst="rect">
              <a:avLst/>
            </a:prstGeom>
          </xdr:spPr>
        </xdr:pic>
        <xdr:pic>
          <xdr:nvPicPr>
            <xdr:cNvPr id="59" name="Graphic 58" descr="Female Profile with solid fill">
              <a:extLst>
                <a:ext uri="{FF2B5EF4-FFF2-40B4-BE49-F238E27FC236}">
                  <a16:creationId xmlns:a16="http://schemas.microsoft.com/office/drawing/2014/main" id="{A09B420A-38B0-7534-1942-5AEF051253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50814" y="3967827"/>
              <a:ext cx="792000" cy="792000"/>
            </a:xfrm>
            <a:prstGeom prst="rect">
              <a:avLst/>
            </a:prstGeom>
          </xdr:spPr>
        </xdr:pic>
        <xdr:sp macro="" textlink="Gender!$B$9">
          <xdr:nvSpPr>
            <xdr:cNvPr id="60" name="TextBox 59">
              <a:extLst>
                <a:ext uri="{FF2B5EF4-FFF2-40B4-BE49-F238E27FC236}">
                  <a16:creationId xmlns:a16="http://schemas.microsoft.com/office/drawing/2014/main" id="{46008956-8D1A-4AC4-ADC3-51917479E2D7}"/>
                </a:ext>
              </a:extLst>
            </xdr:cNvPr>
            <xdr:cNvSpPr txBox="1"/>
          </xdr:nvSpPr>
          <xdr:spPr>
            <a:xfrm>
              <a:off x="6315489" y="4120598"/>
              <a:ext cx="828261" cy="4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585649-EE61-4BE0-A87A-5DDFDA7240B8}" type="TxLink">
                <a:rPr lang="en-US" sz="2800" b="0" i="0" u="none" strike="noStrike">
                  <a:solidFill>
                    <a:srgbClr val="000000"/>
                  </a:solidFill>
                  <a:latin typeface="Berlin Sans FB Demi" panose="020E0802020502020306" pitchFamily="34" charset="0"/>
                  <a:cs typeface="Calibri"/>
                </a:rPr>
                <a:pPr algn="ctr"/>
                <a:t>588</a:t>
              </a:fld>
              <a:endParaRPr lang="en-IN" sz="2800">
                <a:solidFill>
                  <a:srgbClr val="002060"/>
                </a:solidFill>
                <a:latin typeface="Berlin Sans FB Demi" panose="020E0802020502020306" pitchFamily="34" charset="0"/>
              </a:endParaRPr>
            </a:p>
          </xdr:txBody>
        </xdr:sp>
      </xdr:grpSp>
      <xdr:sp macro="" textlink="">
        <xdr:nvSpPr>
          <xdr:cNvPr id="62" name="TextBox 61">
            <a:extLst>
              <a:ext uri="{FF2B5EF4-FFF2-40B4-BE49-F238E27FC236}">
                <a16:creationId xmlns:a16="http://schemas.microsoft.com/office/drawing/2014/main" id="{D3922277-30CD-CC83-7A68-F12A763CE306}"/>
              </a:ext>
            </a:extLst>
          </xdr:cNvPr>
          <xdr:cNvSpPr txBox="1"/>
        </xdr:nvSpPr>
        <xdr:spPr>
          <a:xfrm>
            <a:off x="6149837" y="2671141"/>
            <a:ext cx="4224130" cy="31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Total Employees</a:t>
            </a:r>
            <a:r>
              <a:rPr lang="en-IN" sz="1800" baseline="0">
                <a:solidFill>
                  <a:srgbClr val="C00000"/>
                </a:solidFill>
                <a:latin typeface="Times New Roman" panose="02020603050405020304" pitchFamily="18" charset="0"/>
                <a:cs typeface="Times New Roman" panose="02020603050405020304" pitchFamily="18" charset="0"/>
              </a:rPr>
              <a:t> By Gender</a:t>
            </a:r>
            <a:endParaRPr lang="en-IN" sz="1800">
              <a:solidFill>
                <a:srgbClr val="C00000"/>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a14="http://schemas.microsoft.com/office/drawing/2010/main" Requires="a14">
          <xdr:graphicFrame macro="">
            <xdr:nvGraphicFramePr>
              <xdr:cNvPr id="63" name="Gender 3">
                <a:extLst>
                  <a:ext uri="{FF2B5EF4-FFF2-40B4-BE49-F238E27FC236}">
                    <a16:creationId xmlns:a16="http://schemas.microsoft.com/office/drawing/2014/main" id="{53C6268B-71E8-4067-97C9-18356079629A}"/>
                  </a:ext>
                </a:extLst>
              </xdr:cNvPr>
              <xdr:cNvGraphicFramePr/>
            </xdr:nvGraphicFramePr>
            <xdr:xfrm>
              <a:off x="7226576" y="3126687"/>
              <a:ext cx="1925707" cy="662607"/>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639652" y="3164948"/>
                <a:ext cx="1917275" cy="653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4" name="Chart 63">
            <a:extLst>
              <a:ext uri="{FF2B5EF4-FFF2-40B4-BE49-F238E27FC236}">
                <a16:creationId xmlns:a16="http://schemas.microsoft.com/office/drawing/2014/main" id="{5036C2DD-6E34-4FBE-ADAF-C91E0CDCE557}"/>
              </a:ext>
            </a:extLst>
          </xdr:cNvPr>
          <xdr:cNvGraphicFramePr>
            <a:graphicFrameLocks/>
          </xdr:cNvGraphicFramePr>
        </xdr:nvGraphicFramePr>
        <xdr:xfrm>
          <a:off x="10767391" y="3085274"/>
          <a:ext cx="5342283" cy="2443367"/>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66" name="TextBox 65">
            <a:extLst>
              <a:ext uri="{FF2B5EF4-FFF2-40B4-BE49-F238E27FC236}">
                <a16:creationId xmlns:a16="http://schemas.microsoft.com/office/drawing/2014/main" id="{271A7765-91AE-4C40-B4AC-5E0CB06B8997}"/>
              </a:ext>
            </a:extLst>
          </xdr:cNvPr>
          <xdr:cNvSpPr txBox="1"/>
        </xdr:nvSpPr>
        <xdr:spPr>
          <a:xfrm>
            <a:off x="10919792" y="2637182"/>
            <a:ext cx="4224130" cy="31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Education</a:t>
            </a:r>
            <a:r>
              <a:rPr lang="en-IN" sz="1800" baseline="0">
                <a:solidFill>
                  <a:srgbClr val="C00000"/>
                </a:solidFill>
                <a:latin typeface="Times New Roman" panose="02020603050405020304" pitchFamily="18" charset="0"/>
                <a:cs typeface="Times New Roman" panose="02020603050405020304" pitchFamily="18" charset="0"/>
              </a:rPr>
              <a:t> wise Attrition</a:t>
            </a:r>
            <a:endParaRPr lang="en-IN" sz="1800">
              <a:solidFill>
                <a:srgbClr val="C00000"/>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31DEB3BD-33B3-408B-8BE9-CE3AB01B8DA7}"/>
                  </a:ext>
                </a:extLst>
              </xdr:cNvPr>
              <xdr:cNvGraphicFramePr/>
            </xdr:nvGraphicFramePr>
            <xdr:xfrm>
              <a:off x="16813699" y="3043857"/>
              <a:ext cx="4638261" cy="2401957"/>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6813699" y="3043857"/>
                <a:ext cx="4638261" cy="24019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68" name="TextBox 67">
            <a:extLst>
              <a:ext uri="{FF2B5EF4-FFF2-40B4-BE49-F238E27FC236}">
                <a16:creationId xmlns:a16="http://schemas.microsoft.com/office/drawing/2014/main" id="{8F480119-626D-4A89-A2E7-F0374B4F6D1A}"/>
              </a:ext>
            </a:extLst>
          </xdr:cNvPr>
          <xdr:cNvSpPr txBox="1"/>
        </xdr:nvSpPr>
        <xdr:spPr>
          <a:xfrm>
            <a:off x="16849312" y="2665343"/>
            <a:ext cx="4224130" cy="31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Attrition</a:t>
            </a:r>
            <a:r>
              <a:rPr lang="en-IN" sz="1800" baseline="0">
                <a:solidFill>
                  <a:srgbClr val="C00000"/>
                </a:solidFill>
                <a:latin typeface="Times New Roman" panose="02020603050405020304" pitchFamily="18" charset="0"/>
                <a:cs typeface="Times New Roman" panose="02020603050405020304" pitchFamily="18" charset="0"/>
              </a:rPr>
              <a:t> by Job Role</a:t>
            </a:r>
            <a:endParaRPr lang="en-IN" sz="1800">
              <a:solidFill>
                <a:srgbClr val="C00000"/>
              </a:solidFill>
              <a:latin typeface="Times New Roman" panose="02020603050405020304" pitchFamily="18" charset="0"/>
              <a:cs typeface="Times New Roman" panose="02020603050405020304" pitchFamily="18" charset="0"/>
            </a:endParaRPr>
          </a:p>
        </xdr:txBody>
      </xdr:sp>
      <xdr:graphicFrame macro="">
        <xdr:nvGraphicFramePr>
          <xdr:cNvPr id="69" name="Chart 68">
            <a:extLst>
              <a:ext uri="{FF2B5EF4-FFF2-40B4-BE49-F238E27FC236}">
                <a16:creationId xmlns:a16="http://schemas.microsoft.com/office/drawing/2014/main" id="{D9A76B46-4D6E-48D7-A543-9F776F6BF853}"/>
              </a:ext>
            </a:extLst>
          </xdr:cNvPr>
          <xdr:cNvGraphicFramePr>
            <a:graphicFrameLocks/>
          </xdr:cNvGraphicFramePr>
        </xdr:nvGraphicFramePr>
        <xdr:xfrm>
          <a:off x="6025597" y="6087718"/>
          <a:ext cx="4451903" cy="2277718"/>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70" name="TextBox 69">
            <a:extLst>
              <a:ext uri="{FF2B5EF4-FFF2-40B4-BE49-F238E27FC236}">
                <a16:creationId xmlns:a16="http://schemas.microsoft.com/office/drawing/2014/main" id="{E51DA654-BDE9-4071-BEC3-4B6F42AFB6CA}"/>
              </a:ext>
            </a:extLst>
          </xdr:cNvPr>
          <xdr:cNvSpPr txBox="1"/>
        </xdr:nvSpPr>
        <xdr:spPr>
          <a:xfrm>
            <a:off x="6033052" y="5660335"/>
            <a:ext cx="4224130" cy="31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Department</a:t>
            </a:r>
            <a:r>
              <a:rPr lang="en-IN" sz="1800" baseline="0">
                <a:solidFill>
                  <a:srgbClr val="C00000"/>
                </a:solidFill>
                <a:latin typeface="Times New Roman" panose="02020603050405020304" pitchFamily="18" charset="0"/>
                <a:cs typeface="Times New Roman" panose="02020603050405020304" pitchFamily="18" charset="0"/>
              </a:rPr>
              <a:t> wise Attrition</a:t>
            </a:r>
            <a:endParaRPr lang="en-IN" sz="1800">
              <a:solidFill>
                <a:srgbClr val="C00000"/>
              </a:solidFill>
              <a:latin typeface="Times New Roman" panose="02020603050405020304" pitchFamily="18" charset="0"/>
              <a:cs typeface="Times New Roman" panose="02020603050405020304" pitchFamily="18" charset="0"/>
            </a:endParaRPr>
          </a:p>
        </xdr:txBody>
      </xdr:sp>
      <xdr:graphicFrame macro="">
        <xdr:nvGraphicFramePr>
          <xdr:cNvPr id="71" name="Chart 70">
            <a:extLst>
              <a:ext uri="{FF2B5EF4-FFF2-40B4-BE49-F238E27FC236}">
                <a16:creationId xmlns:a16="http://schemas.microsoft.com/office/drawing/2014/main" id="{E9AE57D8-9A0B-409A-B617-8E75683E10CA}"/>
              </a:ext>
            </a:extLst>
          </xdr:cNvPr>
          <xdr:cNvGraphicFramePr>
            <a:graphicFrameLocks/>
          </xdr:cNvGraphicFramePr>
        </xdr:nvGraphicFramePr>
        <xdr:xfrm>
          <a:off x="10850217" y="6087717"/>
          <a:ext cx="3892826" cy="2319131"/>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72" name="TextBox 71">
            <a:extLst>
              <a:ext uri="{FF2B5EF4-FFF2-40B4-BE49-F238E27FC236}">
                <a16:creationId xmlns:a16="http://schemas.microsoft.com/office/drawing/2014/main" id="{F435FF3E-58DA-4F23-ACF3-22C0EDE9E258}"/>
              </a:ext>
            </a:extLst>
          </xdr:cNvPr>
          <xdr:cNvSpPr txBox="1"/>
        </xdr:nvSpPr>
        <xdr:spPr>
          <a:xfrm>
            <a:off x="10927246" y="5667788"/>
            <a:ext cx="3650145" cy="35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Attrition</a:t>
            </a:r>
            <a:r>
              <a:rPr lang="en-IN" sz="1800" baseline="0">
                <a:solidFill>
                  <a:srgbClr val="C00000"/>
                </a:solidFill>
                <a:latin typeface="Times New Roman" panose="02020603050405020304" pitchFamily="18" charset="0"/>
                <a:cs typeface="Times New Roman" panose="02020603050405020304" pitchFamily="18" charset="0"/>
              </a:rPr>
              <a:t> by Age Group</a:t>
            </a:r>
            <a:endParaRPr lang="en-IN" sz="1800">
              <a:solidFill>
                <a:srgbClr val="C00000"/>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AAA84C4E-ED5A-4BF6-842D-3ACADD369862}"/>
                  </a:ext>
                </a:extLst>
              </xdr:cNvPr>
              <xdr:cNvGraphicFramePr/>
            </xdr:nvGraphicFramePr>
            <xdr:xfrm>
              <a:off x="15074347" y="6108424"/>
              <a:ext cx="3292338" cy="2319131"/>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5074347" y="6108424"/>
                <a:ext cx="3292338" cy="23191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74" name="TextBox 73">
            <a:extLst>
              <a:ext uri="{FF2B5EF4-FFF2-40B4-BE49-F238E27FC236}">
                <a16:creationId xmlns:a16="http://schemas.microsoft.com/office/drawing/2014/main" id="{6FF28966-7DB4-4BAC-839F-79A71C203885}"/>
              </a:ext>
            </a:extLst>
          </xdr:cNvPr>
          <xdr:cNvSpPr txBox="1"/>
        </xdr:nvSpPr>
        <xdr:spPr>
          <a:xfrm>
            <a:off x="15262363" y="5695950"/>
            <a:ext cx="2980083" cy="30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Attrition</a:t>
            </a:r>
            <a:r>
              <a:rPr lang="en-IN" sz="1800" baseline="0">
                <a:solidFill>
                  <a:srgbClr val="C00000"/>
                </a:solidFill>
                <a:latin typeface="Times New Roman" panose="02020603050405020304" pitchFamily="18" charset="0"/>
                <a:cs typeface="Times New Roman" panose="02020603050405020304" pitchFamily="18" charset="0"/>
              </a:rPr>
              <a:t> by Marital Status</a:t>
            </a:r>
            <a:endParaRPr lang="en-IN" sz="1800">
              <a:solidFill>
                <a:srgbClr val="C00000"/>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a14="http://schemas.microsoft.com/office/drawing/2010/main" Requires="a14">
          <xdr:graphicFrame macro="">
            <xdr:nvGraphicFramePr>
              <xdr:cNvPr id="75" name="Department 1">
                <a:extLst>
                  <a:ext uri="{FF2B5EF4-FFF2-40B4-BE49-F238E27FC236}">
                    <a16:creationId xmlns:a16="http://schemas.microsoft.com/office/drawing/2014/main" id="{8EC490E1-AD6E-456A-80F1-1B569943D536}"/>
                  </a:ext>
                </a:extLst>
              </xdr:cNvPr>
              <xdr:cNvGraphicFramePr/>
            </xdr:nvGraphicFramePr>
            <xdr:xfrm>
              <a:off x="20582283" y="6315492"/>
              <a:ext cx="1118152" cy="1283805"/>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1936878" y="6309002"/>
                <a:ext cx="1113256" cy="1265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6" name="Education Field 3">
                <a:extLst>
                  <a:ext uri="{FF2B5EF4-FFF2-40B4-BE49-F238E27FC236}">
                    <a16:creationId xmlns:a16="http://schemas.microsoft.com/office/drawing/2014/main" id="{213CB2FF-A2D6-4E24-89A5-1A206AE78422}"/>
                  </a:ext>
                </a:extLst>
              </xdr:cNvPr>
              <xdr:cNvGraphicFramePr/>
            </xdr:nvGraphicFramePr>
            <xdr:xfrm>
              <a:off x="18656575" y="6262897"/>
              <a:ext cx="1905001" cy="2061128"/>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20019602" y="6257145"/>
                <a:ext cx="1896660" cy="2032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7" name="TextBox 76">
            <a:extLst>
              <a:ext uri="{FF2B5EF4-FFF2-40B4-BE49-F238E27FC236}">
                <a16:creationId xmlns:a16="http://schemas.microsoft.com/office/drawing/2014/main" id="{F3A03609-C235-7A30-67DD-ECCABECB0E13}"/>
              </a:ext>
            </a:extLst>
          </xdr:cNvPr>
          <xdr:cNvSpPr txBox="1"/>
        </xdr:nvSpPr>
        <xdr:spPr>
          <a:xfrm>
            <a:off x="18739402" y="6016072"/>
            <a:ext cx="1822174"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latin typeface="Times New Roman" panose="02020603050405020304" pitchFamily="18" charset="0"/>
                <a:cs typeface="Times New Roman" panose="02020603050405020304" pitchFamily="18" charset="0"/>
              </a:rPr>
              <a:t>Education Field</a:t>
            </a:r>
          </a:p>
        </xdr:txBody>
      </xdr:sp>
      <xdr:sp macro="" textlink="">
        <xdr:nvSpPr>
          <xdr:cNvPr id="78" name="TextBox 77">
            <a:extLst>
              <a:ext uri="{FF2B5EF4-FFF2-40B4-BE49-F238E27FC236}">
                <a16:creationId xmlns:a16="http://schemas.microsoft.com/office/drawing/2014/main" id="{30876873-42DC-FDB9-5BB1-DA78B1C2484B}"/>
              </a:ext>
            </a:extLst>
          </xdr:cNvPr>
          <xdr:cNvSpPr txBox="1"/>
        </xdr:nvSpPr>
        <xdr:spPr>
          <a:xfrm>
            <a:off x="20561576" y="6025598"/>
            <a:ext cx="1159565" cy="227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latin typeface="Times New Roman" panose="02020603050405020304" pitchFamily="18" charset="0"/>
                <a:cs typeface="Times New Roman" panose="02020603050405020304" pitchFamily="18" charset="0"/>
              </a:rPr>
              <a:t>Department</a:t>
            </a:r>
          </a:p>
        </xdr:txBody>
      </xdr:sp>
      <xdr:sp macro="" textlink="">
        <xdr:nvSpPr>
          <xdr:cNvPr id="79" name="TextBox 78">
            <a:extLst>
              <a:ext uri="{FF2B5EF4-FFF2-40B4-BE49-F238E27FC236}">
                <a16:creationId xmlns:a16="http://schemas.microsoft.com/office/drawing/2014/main" id="{EB630840-865B-4C15-823A-4C15E381A82F}"/>
              </a:ext>
            </a:extLst>
          </xdr:cNvPr>
          <xdr:cNvSpPr txBox="1"/>
        </xdr:nvSpPr>
        <xdr:spPr>
          <a:xfrm>
            <a:off x="18665687" y="5661992"/>
            <a:ext cx="2980083" cy="30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Times New Roman" panose="02020603050405020304" pitchFamily="18" charset="0"/>
                <a:cs typeface="Times New Roman" panose="02020603050405020304" pitchFamily="18" charset="0"/>
              </a:rPr>
              <a:t>Filter</a:t>
            </a:r>
            <a:r>
              <a:rPr lang="en-IN" sz="1800" baseline="0">
                <a:solidFill>
                  <a:srgbClr val="C00000"/>
                </a:solidFill>
                <a:latin typeface="Times New Roman" panose="02020603050405020304" pitchFamily="18" charset="0"/>
                <a:cs typeface="Times New Roman" panose="02020603050405020304" pitchFamily="18" charset="0"/>
              </a:rPr>
              <a:t> Panel</a:t>
            </a: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0.29856</cdr:x>
      <cdr:y>0.31817</cdr:y>
    </cdr:from>
    <cdr:to>
      <cdr:x>0.69072</cdr:x>
      <cdr:y>0.61817</cdr:y>
    </cdr:to>
    <cdr:sp macro="" textlink="Gender!$B$10">
      <cdr:nvSpPr>
        <cdr:cNvPr id="2" name="TextBox 59">
          <a:extLst xmlns:a="http://schemas.openxmlformats.org/drawingml/2006/main">
            <a:ext uri="{FF2B5EF4-FFF2-40B4-BE49-F238E27FC236}">
              <a16:creationId xmlns:a16="http://schemas.microsoft.com/office/drawing/2014/main" id="{46008956-8D1A-4AC4-ADC3-51917479E2D7}"/>
            </a:ext>
          </a:extLst>
        </cdr:cNvPr>
        <cdr:cNvSpPr txBox="1"/>
      </cdr:nvSpPr>
      <cdr:spPr>
        <a:xfrm xmlns:a="http://schemas.openxmlformats.org/drawingml/2006/main">
          <a:off x="630582" y="527050"/>
          <a:ext cx="828261" cy="4969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202D613D-D32E-4F2B-9255-0BE9AD7F9811}" type="TxLink">
            <a:rPr lang="en-US" sz="2800" b="0" i="0" u="none" strike="noStrike">
              <a:solidFill>
                <a:srgbClr val="000000"/>
              </a:solidFill>
              <a:latin typeface="Berlin Sans FB Demi" panose="020E0802020502020306" pitchFamily="34" charset="0"/>
              <a:cs typeface="Calibri"/>
            </a:rPr>
            <a:pPr algn="ctr"/>
            <a:t>882</a:t>
          </a:fld>
          <a:endParaRPr lang="en-IN" sz="2800">
            <a:solidFill>
              <a:srgbClr val="002060"/>
            </a:solidFill>
            <a:latin typeface="Berlin Sans FB Demi" panose="020E0802020502020306"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57150</xdr:colOff>
      <xdr:row>0</xdr:row>
      <xdr:rowOff>161924</xdr:rowOff>
    </xdr:from>
    <xdr:to>
      <xdr:col>5</xdr:col>
      <xdr:colOff>590550</xdr:colOff>
      <xdr:row>6</xdr:row>
      <xdr:rowOff>28575</xdr:rowOff>
    </xdr:to>
    <xdr:graphicFrame macro="">
      <xdr:nvGraphicFramePr>
        <xdr:cNvPr id="2" name="Chart 1">
          <a:extLst>
            <a:ext uri="{FF2B5EF4-FFF2-40B4-BE49-F238E27FC236}">
              <a16:creationId xmlns:a16="http://schemas.microsoft.com/office/drawing/2014/main" id="{7EB75E6A-7A37-F29F-BF1E-A823EDC23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504825</xdr:colOff>
      <xdr:row>0</xdr:row>
      <xdr:rowOff>142875</xdr:rowOff>
    </xdr:from>
    <xdr:to>
      <xdr:col>15</xdr:col>
      <xdr:colOff>276225</xdr:colOff>
      <xdr:row>7</xdr:row>
      <xdr:rowOff>38100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D18CC4A3-B224-FBC0-58EF-998A1072630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06100" y="142875"/>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147637</xdr:colOff>
      <xdr:row>9</xdr:row>
      <xdr:rowOff>85724</xdr:rowOff>
    </xdr:from>
    <xdr:to>
      <xdr:col>4</xdr:col>
      <xdr:colOff>57150</xdr:colOff>
      <xdr:row>14</xdr:row>
      <xdr:rowOff>180974</xdr:rowOff>
    </xdr:to>
    <xdr:graphicFrame macro="">
      <xdr:nvGraphicFramePr>
        <xdr:cNvPr id="5" name="Chart 4">
          <a:extLst>
            <a:ext uri="{FF2B5EF4-FFF2-40B4-BE49-F238E27FC236}">
              <a16:creationId xmlns:a16="http://schemas.microsoft.com/office/drawing/2014/main" id="{CDE887A2-0F27-F6E6-061C-624BCA5A9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247650</xdr:colOff>
      <xdr:row>1</xdr:row>
      <xdr:rowOff>95250</xdr:rowOff>
    </xdr:from>
    <xdr:to>
      <xdr:col>12</xdr:col>
      <xdr:colOff>19050</xdr:colOff>
      <xdr:row>14</xdr:row>
      <xdr:rowOff>161925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33ABB2FA-9F7F-B45A-9AA8-8AAB49DBEE4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391525" y="2952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28575</xdr:colOff>
      <xdr:row>1</xdr:row>
      <xdr:rowOff>19050</xdr:rowOff>
    </xdr:from>
    <xdr:to>
      <xdr:col>6</xdr:col>
      <xdr:colOff>485775</xdr:colOff>
      <xdr:row>14</xdr:row>
      <xdr:rowOff>85725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A5D20967-35B7-0559-4E4C-803BAC96354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981450" y="2190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1</xdr:row>
      <xdr:rowOff>66675</xdr:rowOff>
    </xdr:from>
    <xdr:to>
      <xdr:col>9</xdr:col>
      <xdr:colOff>514350</xdr:colOff>
      <xdr:row>14</xdr:row>
      <xdr:rowOff>133350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8F8ED936-63A5-63F7-8CEE-EE7345357FD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067425" y="266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242887</xdr:colOff>
      <xdr:row>11</xdr:row>
      <xdr:rowOff>161925</xdr:rowOff>
    </xdr:from>
    <xdr:to>
      <xdr:col>3</xdr:col>
      <xdr:colOff>266700</xdr:colOff>
      <xdr:row>19</xdr:row>
      <xdr:rowOff>38099</xdr:rowOff>
    </xdr:to>
    <xdr:graphicFrame macro="">
      <xdr:nvGraphicFramePr>
        <xdr:cNvPr id="4" name="Chart 3">
          <a:extLst>
            <a:ext uri="{FF2B5EF4-FFF2-40B4-BE49-F238E27FC236}">
              <a16:creationId xmlns:a16="http://schemas.microsoft.com/office/drawing/2014/main" id="{D967DADB-5328-A4C8-ECF2-0DC441C04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80962</xdr:colOff>
      <xdr:row>3</xdr:row>
      <xdr:rowOff>9525</xdr:rowOff>
    </xdr:from>
    <xdr:to>
      <xdr:col>9</xdr:col>
      <xdr:colOff>538162</xdr:colOff>
      <xdr:row>16</xdr:row>
      <xdr:rowOff>152400</xdr:rowOff>
    </xdr:to>
    <xdr:graphicFrame macro="">
      <xdr:nvGraphicFramePr>
        <xdr:cNvPr id="2" name="Chart 1">
          <a:extLst>
            <a:ext uri="{FF2B5EF4-FFF2-40B4-BE49-F238E27FC236}">
              <a16:creationId xmlns:a16="http://schemas.microsoft.com/office/drawing/2014/main" id="{CC8F455A-FD66-DCE8-83F4-0CD9951F0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357187</xdr:colOff>
      <xdr:row>2</xdr:row>
      <xdr:rowOff>104775</xdr:rowOff>
    </xdr:from>
    <xdr:to>
      <xdr:col>12</xdr:col>
      <xdr:colOff>128587</xdr:colOff>
      <xdr:row>16</xdr:row>
      <xdr:rowOff>47625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D37F661-FD45-C49C-2251-B32C02DAF3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72287" y="5048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252412</xdr:colOff>
      <xdr:row>2</xdr:row>
      <xdr:rowOff>19050</xdr:rowOff>
    </xdr:from>
    <xdr:to>
      <xdr:col>10</xdr:col>
      <xdr:colOff>23812</xdr:colOff>
      <xdr:row>15</xdr:row>
      <xdr:rowOff>161925</xdr:rowOff>
    </xdr:to>
    <xdr:graphicFrame macro="">
      <xdr:nvGraphicFramePr>
        <xdr:cNvPr id="2" name="Chart 1">
          <a:extLst>
            <a:ext uri="{FF2B5EF4-FFF2-40B4-BE49-F238E27FC236}">
              <a16:creationId xmlns:a16="http://schemas.microsoft.com/office/drawing/2014/main" id="{CBD1E95C-9EC6-B0A7-B66E-D73F50298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204787</xdr:colOff>
      <xdr:row>3</xdr:row>
      <xdr:rowOff>85725</xdr:rowOff>
    </xdr:from>
    <xdr:to>
      <xdr:col>15</xdr:col>
      <xdr:colOff>661987</xdr:colOff>
      <xdr:row>17</xdr:row>
      <xdr:rowOff>28575</xdr:rowOff>
    </xdr:to>
    <xdr:graphicFrame macro="">
      <xdr:nvGraphicFramePr>
        <xdr:cNvPr id="2" name="Chart 1">
          <a:extLst>
            <a:ext uri="{FF2B5EF4-FFF2-40B4-BE49-F238E27FC236}">
              <a16:creationId xmlns:a16="http://schemas.microsoft.com/office/drawing/2014/main" id="{B5B55992-78CA-68AF-C4BC-06C73D86A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xdr:row>
      <xdr:rowOff>0</xdr:rowOff>
    </xdr:from>
    <xdr:to>
      <xdr:col>8</xdr:col>
      <xdr:colOff>457200</xdr:colOff>
      <xdr:row>16</xdr:row>
      <xdr:rowOff>66675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F9A51ED-F9A3-0221-956A-274E18A513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24475" y="6000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3</xdr:row>
      <xdr:rowOff>9525</xdr:rowOff>
    </xdr:from>
    <xdr:to>
      <xdr:col>5</xdr:col>
      <xdr:colOff>552450</xdr:colOff>
      <xdr:row>16</xdr:row>
      <xdr:rowOff>76200</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CCD4F0BE-1DC9-D893-3F2A-752633E8F0A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3362325" y="609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176212</xdr:colOff>
      <xdr:row>5</xdr:row>
      <xdr:rowOff>38100</xdr:rowOff>
    </xdr:from>
    <xdr:to>
      <xdr:col>12</xdr:col>
      <xdr:colOff>633412</xdr:colOff>
      <xdr:row>18</xdr:row>
      <xdr:rowOff>180975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711C23A-97EB-C76E-0624-548D9AB63F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3112" y="10382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4.75959548611" createdVersion="8" refreshedVersion="8" minRefreshableVersion="3" recordCount="1470" xr:uid="{C9CFA3C3-A26E-45CE-982B-6A71BEE8CE9B}">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82705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B22B2-C431-485A-8D53-2995DA73796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DACC6-A5B6-47AB-B6F4-9C7B62FD2D4D}"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AE2F2-A5C1-4C09-B63D-24E2136AD25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F9CE02-BFC0-4308-AF22-2A86B6050B17}"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C8ED8-77C7-4118-83E0-2B7AFDEB744E}"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783AA-7B60-473F-9F69-8A51E0F0185B}"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3FAEAA-F8F7-4ACF-99DA-D233541975B4}"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35249-92AA-4E62-9F5F-BBF0AC9D0613}"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B9A7C05-4FA8-4799-8626-A0ED1BB2B2CE}" sourceName="Gender">
  <pivotTables>
    <pivotTable tabId="10" name="Gender"/>
    <pivotTable tabId="14" name="Attrition by age group"/>
    <pivotTable tabId="12" name="Attrition by Job"/>
    <pivotTable tabId="13" name="Dept wise Attrition"/>
    <pivotTable tabId="11" name="Education by Attrition"/>
    <pivotTable tabId="7" name="KPI"/>
    <pivotTable tabId="15" name="Marital Status"/>
    <pivotTable tabId="9" name="Rating"/>
  </pivotTables>
  <data>
    <tabular pivotCacheId="11827051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C2C3291-F450-45DC-955A-7AC056ACAAA5}" sourceName="Department">
  <pivotTables>
    <pivotTable tabId="14" name="Attrition by age group"/>
    <pivotTable tabId="12" name="Attrition by Job"/>
    <pivotTable tabId="13" name="Dept wise Attrition"/>
    <pivotTable tabId="11" name="Education by Attrition"/>
    <pivotTable tabId="10" name="Gender"/>
    <pivotTable tabId="7" name="KPI"/>
    <pivotTable tabId="15" name="Marital Status"/>
    <pivotTable tabId="9" name="Rating"/>
  </pivotTables>
  <data>
    <tabular pivotCacheId="118270519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4AB87A6B-0005-4A8F-B25E-A1C3000D3AE9}" sourceName="Education Field">
  <pivotTables>
    <pivotTable tabId="14" name="Attrition by age group"/>
    <pivotTable tabId="12" name="Attrition by Job"/>
    <pivotTable tabId="13" name="Dept wise Attrition"/>
    <pivotTable tabId="11" name="Education by Attrition"/>
    <pivotTable tabId="10" name="Gender"/>
    <pivotTable tabId="7" name="KPI"/>
    <pivotTable tabId="15" name="Marital Status"/>
    <pivotTable tabId="9" name="Rating"/>
  </pivotTables>
  <data>
    <tabular pivotCacheId="118270519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5C00D4E-6535-4A35-88A7-3E4910EE7EC9}"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7AB20EC-EF88-47E0-922D-DA493034BBCC}" cache="Slicer_Gender2" caption="Gender" columnCount="2" style="Slicer" rowHeight="257175"/>
  <slicer name="Department 1" xr10:uid="{E7810C50-3D2E-4183-9722-47322E529CE3}" cache="Slicer_Department" style="Slicer" rowHeight="257175"/>
  <slicer name="Education Field 3" xr10:uid="{A27DF408-24D1-4303-94B1-1DF1CC191506}" cache="Slicer_Education_Field2" style="Slic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8D68B70-4852-4DA1-8F11-9C6D9E9264DA}" cache="Slicer_Gender2" caption="Gender" rowHeight="257175"/>
  <slicer name="Education Field" xr10:uid="{2EDE1E3E-4112-4B81-A44D-D8D49A5D59DC}"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29626B2-9E94-4CB5-83BA-C3D20340E4B5}" cache="Slicer_Gender2" caption="Gender" rowHeight="257175"/>
  <slicer name="Education Field 1" xr10:uid="{E9935490-4C90-4905-93C4-A56B5BC15E55}"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A8CB1A9-008F-4989-99B8-7B768BE98C1A}" cache="Slicer_Department" caption="Department" rowHeight="257175"/>
  <slicer name="Education Field 2" xr10:uid="{DEE49996-FC46-41C2-AB5F-8BC219112118}" cache="Slicer_Education_Field2"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9093-A0FD-4256-AA42-CF4EF4441069}">
  <dimension ref="A3:E8"/>
  <sheetViews>
    <sheetView workbookViewId="0">
      <selection activeCell="B11" sqref="B11"/>
    </sheetView>
  </sheetViews>
  <sheetFormatPr defaultRowHeight="15.75" x14ac:dyDescent="0.25"/>
  <cols>
    <col min="1" max="1" width="23.375" bestFit="1" customWidth="1"/>
    <col min="2" max="2" width="21.75" bestFit="1" customWidth="1"/>
    <col min="3" max="3" width="13.375" bestFit="1" customWidth="1"/>
    <col min="4" max="4" width="16.75" bestFit="1" customWidth="1"/>
    <col min="5" max="5" width="11.75" bestFit="1" customWidth="1"/>
  </cols>
  <sheetData>
    <row r="3" spans="1:5" x14ac:dyDescent="0.25">
      <c r="A3" s="2" t="s">
        <v>1554</v>
      </c>
      <c r="B3" s="4" t="s">
        <v>1555</v>
      </c>
      <c r="C3" s="3" t="s">
        <v>1556</v>
      </c>
    </row>
    <row r="4" spans="1:5" x14ac:dyDescent="0.25">
      <c r="A4" s="9">
        <v>1470</v>
      </c>
      <c r="B4" s="23">
        <v>237</v>
      </c>
      <c r="C4" s="10">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count",$A$3)</f>
        <v>237</v>
      </c>
      <c r="C8" s="6">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EA87-70AC-44AC-898A-3DE46496D086}">
  <dimension ref="AK40"/>
  <sheetViews>
    <sheetView tabSelected="1" zoomScale="42" zoomScaleNormal="42" workbookViewId="0">
      <selection activeCell="AK22" sqref="AK22"/>
    </sheetView>
  </sheetViews>
  <sheetFormatPr defaultRowHeight="15.75" x14ac:dyDescent="0.25"/>
  <sheetData>
    <row r="40" spans="37:37" x14ac:dyDescent="0.25">
      <c r="AK40"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A3C8-B628-4F07-9E58-9D3CFAC8C52A}">
  <dimension ref="A3:C7"/>
  <sheetViews>
    <sheetView workbookViewId="0">
      <selection activeCell="F18" sqref="F18"/>
    </sheetView>
  </sheetViews>
  <sheetFormatPr defaultRowHeight="15.75" x14ac:dyDescent="0.25"/>
  <cols>
    <col min="1" max="1" width="23.125" bestFit="1" customWidth="1"/>
    <col min="2" max="2" width="20.75" bestFit="1" customWidth="1"/>
  </cols>
  <sheetData>
    <row r="3" spans="1:3" x14ac:dyDescent="0.25">
      <c r="A3" s="7" t="s">
        <v>1562</v>
      </c>
    </row>
    <row r="4" spans="1:3" x14ac:dyDescent="0.25">
      <c r="A4" s="11">
        <v>2.6265306122448981</v>
      </c>
    </row>
    <row r="6" spans="1:3" x14ac:dyDescent="0.25">
      <c r="A6" t="s">
        <v>1563</v>
      </c>
      <c r="B6" s="12">
        <f>GETPIVOTDATA("Job Satisfaction",$A$3)</f>
        <v>2.6265306122448981</v>
      </c>
      <c r="C6">
        <f>B6/4</f>
        <v>0.65663265306122454</v>
      </c>
    </row>
    <row r="7" spans="1:3" x14ac:dyDescent="0.25">
      <c r="A7" t="s">
        <v>1564</v>
      </c>
      <c r="B7" s="12">
        <f>4-GETPIVOTDATA("Job Satisfaction",$A$3)</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DE221-624C-4A43-8E93-E788556CA439}">
  <dimension ref="A3:C10"/>
  <sheetViews>
    <sheetView workbookViewId="0">
      <selection activeCell="C9" sqref="C9:C10"/>
    </sheetView>
  </sheetViews>
  <sheetFormatPr defaultRowHeight="15.75" x14ac:dyDescent="0.25"/>
  <cols>
    <col min="1" max="1" width="12.125" bestFit="1" customWidth="1"/>
    <col min="2" max="2" width="21.75" bestFit="1" customWidth="1"/>
  </cols>
  <sheetData>
    <row r="3" spans="1:3" x14ac:dyDescent="0.25">
      <c r="A3" s="13" t="s">
        <v>1565</v>
      </c>
      <c r="B3" s="7" t="s">
        <v>1567</v>
      </c>
    </row>
    <row r="4" spans="1:3" x14ac:dyDescent="0.25">
      <c r="A4" s="14" t="s">
        <v>51</v>
      </c>
      <c r="B4" s="7">
        <v>588</v>
      </c>
    </row>
    <row r="5" spans="1:3" x14ac:dyDescent="0.25">
      <c r="A5" s="15" t="s">
        <v>62</v>
      </c>
      <c r="B5" s="16">
        <v>882</v>
      </c>
    </row>
    <row r="6" spans="1:3" x14ac:dyDescent="0.25">
      <c r="A6" s="17" t="s">
        <v>1566</v>
      </c>
      <c r="B6" s="8">
        <v>1470</v>
      </c>
    </row>
    <row r="9" spans="1:3" x14ac:dyDescent="0.25">
      <c r="A9" s="18" t="s">
        <v>51</v>
      </c>
      <c r="B9">
        <f>IFERROR(GETPIVOTDATA("Employee Count",$A$3,"Gender","Female"),0)</f>
        <v>588</v>
      </c>
      <c r="C9" s="19">
        <f>IFERROR(B9/($B$9+$B$10),0)</f>
        <v>0.4</v>
      </c>
    </row>
    <row r="10" spans="1:3" x14ac:dyDescent="0.25">
      <c r="A10" s="18" t="s">
        <v>62</v>
      </c>
      <c r="B10">
        <f>IFERROR(GETPIVOTDATA("Employee Count",$A$3,"Gender","Male"),0)</f>
        <v>882</v>
      </c>
      <c r="C10" s="19">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A3E0C-0DBD-48DE-B3DD-B26D08FBCF8D}">
  <dimension ref="A3:B9"/>
  <sheetViews>
    <sheetView workbookViewId="0">
      <selection activeCell="C17" sqref="C17"/>
    </sheetView>
  </sheetViews>
  <sheetFormatPr defaultRowHeight="15.75" x14ac:dyDescent="0.25"/>
  <cols>
    <col min="1" max="1" width="16.125" bestFit="1" customWidth="1"/>
    <col min="2" max="2" width="21.75" bestFit="1" customWidth="1"/>
  </cols>
  <sheetData>
    <row r="3" spans="1:2" x14ac:dyDescent="0.25">
      <c r="A3" s="13" t="s">
        <v>1565</v>
      </c>
      <c r="B3" s="7" t="s">
        <v>1555</v>
      </c>
    </row>
    <row r="4" spans="1:2" x14ac:dyDescent="0.25">
      <c r="A4" s="14" t="s">
        <v>134</v>
      </c>
      <c r="B4" s="7">
        <v>5</v>
      </c>
    </row>
    <row r="5" spans="1:2" x14ac:dyDescent="0.25">
      <c r="A5" s="15" t="s">
        <v>65</v>
      </c>
      <c r="B5" s="16">
        <v>31</v>
      </c>
    </row>
    <row r="6" spans="1:2" x14ac:dyDescent="0.25">
      <c r="A6" s="15" t="s">
        <v>55</v>
      </c>
      <c r="B6" s="16">
        <v>44</v>
      </c>
    </row>
    <row r="7" spans="1:2" x14ac:dyDescent="0.25">
      <c r="A7" s="15" t="s">
        <v>71</v>
      </c>
      <c r="B7" s="16">
        <v>58</v>
      </c>
    </row>
    <row r="8" spans="1:2" x14ac:dyDescent="0.25">
      <c r="A8" s="15" t="s">
        <v>77</v>
      </c>
      <c r="B8" s="16">
        <v>99</v>
      </c>
    </row>
    <row r="9" spans="1:2" x14ac:dyDescent="0.25">
      <c r="A9" s="17" t="s">
        <v>1566</v>
      </c>
      <c r="B9" s="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1483-BC60-4D77-B750-32AFB19CE924}">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2.875" bestFit="1" customWidth="1"/>
  </cols>
  <sheetData>
    <row r="3" spans="1:5" x14ac:dyDescent="0.25">
      <c r="A3" s="13" t="s">
        <v>1565</v>
      </c>
      <c r="B3" s="7" t="s">
        <v>1555</v>
      </c>
      <c r="D3" t="s">
        <v>1568</v>
      </c>
      <c r="E3" t="s">
        <v>0</v>
      </c>
    </row>
    <row r="4" spans="1:5" x14ac:dyDescent="0.25">
      <c r="A4" s="14" t="s">
        <v>83</v>
      </c>
      <c r="B4" s="7">
        <v>9</v>
      </c>
      <c r="D4" t="str">
        <f>A4</f>
        <v>Healthcare Representative</v>
      </c>
      <c r="E4">
        <f>GETPIVOTDATA("CF_attrition count",$A$3,"Job Role",A4)</f>
        <v>9</v>
      </c>
    </row>
    <row r="5" spans="1:5" x14ac:dyDescent="0.25">
      <c r="A5" s="15" t="s">
        <v>163</v>
      </c>
      <c r="B5" s="16">
        <v>12</v>
      </c>
      <c r="D5" t="str">
        <f t="shared" ref="D5:D12" si="0">A5</f>
        <v>Human Resources</v>
      </c>
      <c r="E5">
        <f t="shared" ref="E5:E12" si="1">GETPIVOTDATA("CF_attrition count",$A$3,"Job Role",A5)</f>
        <v>12</v>
      </c>
    </row>
    <row r="6" spans="1:5" x14ac:dyDescent="0.25">
      <c r="A6" s="15" t="s">
        <v>68</v>
      </c>
      <c r="B6" s="16">
        <v>62</v>
      </c>
      <c r="D6" t="str">
        <f t="shared" si="0"/>
        <v>Laboratory Technician</v>
      </c>
      <c r="E6">
        <f t="shared" si="1"/>
        <v>62</v>
      </c>
    </row>
    <row r="7" spans="1:5" x14ac:dyDescent="0.25">
      <c r="A7" s="15" t="s">
        <v>95</v>
      </c>
      <c r="B7" s="16">
        <v>5</v>
      </c>
      <c r="D7" t="str">
        <f t="shared" si="0"/>
        <v>Manager</v>
      </c>
      <c r="E7">
        <f t="shared" si="1"/>
        <v>5</v>
      </c>
    </row>
    <row r="8" spans="1:5" x14ac:dyDescent="0.25">
      <c r="A8" s="15" t="s">
        <v>81</v>
      </c>
      <c r="B8" s="16">
        <v>10</v>
      </c>
      <c r="D8" t="str">
        <f t="shared" si="0"/>
        <v>Manufacturing Director</v>
      </c>
      <c r="E8">
        <f t="shared" si="1"/>
        <v>10</v>
      </c>
    </row>
    <row r="9" spans="1:5" x14ac:dyDescent="0.25">
      <c r="A9" s="15" t="s">
        <v>101</v>
      </c>
      <c r="B9" s="16">
        <v>2</v>
      </c>
      <c r="D9" t="str">
        <f t="shared" si="0"/>
        <v>Research Director</v>
      </c>
      <c r="E9">
        <f t="shared" si="1"/>
        <v>2</v>
      </c>
    </row>
    <row r="10" spans="1:5" x14ac:dyDescent="0.25">
      <c r="A10" s="15" t="s">
        <v>63</v>
      </c>
      <c r="B10" s="16">
        <v>47</v>
      </c>
      <c r="D10" t="str">
        <f t="shared" si="0"/>
        <v>Research Scientist</v>
      </c>
      <c r="E10">
        <f t="shared" si="1"/>
        <v>47</v>
      </c>
    </row>
    <row r="11" spans="1:5" x14ac:dyDescent="0.25">
      <c r="A11" s="15" t="s">
        <v>52</v>
      </c>
      <c r="B11" s="16">
        <v>57</v>
      </c>
      <c r="D11" t="str">
        <f t="shared" si="0"/>
        <v>Sales Executive</v>
      </c>
      <c r="E11">
        <f t="shared" si="1"/>
        <v>57</v>
      </c>
    </row>
    <row r="12" spans="1:5" x14ac:dyDescent="0.25">
      <c r="A12" s="15" t="s">
        <v>99</v>
      </c>
      <c r="B12" s="16">
        <v>33</v>
      </c>
      <c r="D12" t="str">
        <f t="shared" si="0"/>
        <v>Sales Representative</v>
      </c>
      <c r="E12">
        <f t="shared" si="1"/>
        <v>33</v>
      </c>
    </row>
    <row r="13" spans="1:5" x14ac:dyDescent="0.25">
      <c r="A13" s="17" t="s">
        <v>1566</v>
      </c>
      <c r="B13" s="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41B7-9C2E-479A-912B-D6FA0FB7E732}">
  <dimension ref="A3:B7"/>
  <sheetViews>
    <sheetView workbookViewId="0">
      <selection activeCell="B4" sqref="B4:B7"/>
    </sheetView>
  </sheetViews>
  <sheetFormatPr defaultRowHeight="15.75" x14ac:dyDescent="0.25"/>
  <cols>
    <col min="1" max="1" width="12.125" bestFit="1" customWidth="1"/>
    <col min="2" max="2" width="21.75" bestFit="1" customWidth="1"/>
  </cols>
  <sheetData>
    <row r="3" spans="1:2" x14ac:dyDescent="0.25">
      <c r="A3" s="13" t="s">
        <v>1565</v>
      </c>
      <c r="B3" s="7" t="s">
        <v>1555</v>
      </c>
    </row>
    <row r="4" spans="1:2" x14ac:dyDescent="0.25">
      <c r="A4" s="14" t="s">
        <v>161</v>
      </c>
      <c r="B4" s="20">
        <v>5.0632911392405063E-2</v>
      </c>
    </row>
    <row r="5" spans="1:2" x14ac:dyDescent="0.25">
      <c r="A5" s="15" t="s">
        <v>60</v>
      </c>
      <c r="B5" s="21">
        <v>0.56118143459915615</v>
      </c>
    </row>
    <row r="6" spans="1:2" x14ac:dyDescent="0.25">
      <c r="A6" s="15" t="s">
        <v>48</v>
      </c>
      <c r="B6" s="21">
        <v>0.3881856540084388</v>
      </c>
    </row>
    <row r="7" spans="1:2" x14ac:dyDescent="0.25">
      <c r="A7" s="17" t="s">
        <v>1566</v>
      </c>
      <c r="B7" s="2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7EE6-39A0-48FC-B625-3AEEF0B6833E}">
  <dimension ref="A3:B9"/>
  <sheetViews>
    <sheetView workbookViewId="0">
      <selection activeCell="K10" sqref="K10"/>
    </sheetView>
  </sheetViews>
  <sheetFormatPr defaultRowHeight="15.75" x14ac:dyDescent="0.25"/>
  <cols>
    <col min="1" max="1" width="12.125" bestFit="1" customWidth="1"/>
    <col min="2" max="2" width="21.75" bestFit="1" customWidth="1"/>
  </cols>
  <sheetData>
    <row r="3" spans="1:2" x14ac:dyDescent="0.25">
      <c r="A3" s="13" t="s">
        <v>1565</v>
      </c>
      <c r="B3" s="7" t="s">
        <v>1555</v>
      </c>
    </row>
    <row r="4" spans="1:2" x14ac:dyDescent="0.25">
      <c r="A4" s="14" t="s">
        <v>69</v>
      </c>
      <c r="B4" s="7">
        <v>112</v>
      </c>
    </row>
    <row r="5" spans="1:2" x14ac:dyDescent="0.25">
      <c r="A5" s="15" t="s">
        <v>46</v>
      </c>
      <c r="B5" s="16">
        <v>51</v>
      </c>
    </row>
    <row r="6" spans="1:2" x14ac:dyDescent="0.25">
      <c r="A6" s="15" t="s">
        <v>92</v>
      </c>
      <c r="B6" s="16">
        <v>38</v>
      </c>
    </row>
    <row r="7" spans="1:2" x14ac:dyDescent="0.25">
      <c r="A7" s="15" t="s">
        <v>58</v>
      </c>
      <c r="B7" s="16">
        <v>25</v>
      </c>
    </row>
    <row r="8" spans="1:2" x14ac:dyDescent="0.25">
      <c r="A8" s="15" t="s">
        <v>75</v>
      </c>
      <c r="B8" s="16">
        <v>11</v>
      </c>
    </row>
    <row r="9" spans="1:2" x14ac:dyDescent="0.25">
      <c r="A9" s="17" t="s">
        <v>1566</v>
      </c>
      <c r="B9" s="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1B0DB-6A4E-4C84-8D24-B597A0486519}">
  <dimension ref="A3:E7"/>
  <sheetViews>
    <sheetView workbookViewId="0">
      <selection activeCell="D12" sqref="D12"/>
    </sheetView>
  </sheetViews>
  <sheetFormatPr defaultRowHeight="15.75" x14ac:dyDescent="0.25"/>
  <cols>
    <col min="1" max="1" width="12.125" bestFit="1" customWidth="1"/>
    <col min="2" max="2" width="23.125" bestFit="1" customWidth="1"/>
    <col min="4" max="4" width="12.25" bestFit="1" customWidth="1"/>
  </cols>
  <sheetData>
    <row r="3" spans="1:5" x14ac:dyDescent="0.25">
      <c r="A3" s="13" t="s">
        <v>1565</v>
      </c>
      <c r="B3" s="7" t="s">
        <v>1569</v>
      </c>
      <c r="D3" t="s">
        <v>10</v>
      </c>
      <c r="E3" t="s">
        <v>0</v>
      </c>
    </row>
    <row r="4" spans="1:5" x14ac:dyDescent="0.25">
      <c r="A4" s="14" t="s">
        <v>79</v>
      </c>
      <c r="B4" s="7">
        <v>327</v>
      </c>
      <c r="D4" t="str">
        <f>A4</f>
        <v>Divorced</v>
      </c>
      <c r="E4">
        <f>GETPIVOTDATA("CF_attrition count",$A$3,"Marital Status",A4)</f>
        <v>327</v>
      </c>
    </row>
    <row r="5" spans="1:5" x14ac:dyDescent="0.25">
      <c r="A5" s="15" t="s">
        <v>53</v>
      </c>
      <c r="B5" s="16">
        <v>470</v>
      </c>
      <c r="D5" t="str">
        <f>A5</f>
        <v>Single</v>
      </c>
      <c r="E5">
        <f>GETPIVOTDATA("CF_attrition count",$A$3,"Marital Status",A5)</f>
        <v>470</v>
      </c>
    </row>
    <row r="6" spans="1:5" x14ac:dyDescent="0.25">
      <c r="A6" s="15" t="s">
        <v>64</v>
      </c>
      <c r="B6" s="16">
        <v>673</v>
      </c>
      <c r="D6" t="str">
        <f>A6</f>
        <v>Married</v>
      </c>
      <c r="E6">
        <f>GETPIVOTDATA("CF_attrition count",$A$3,"Marital Status",A6)</f>
        <v>673</v>
      </c>
    </row>
    <row r="7" spans="1:5" x14ac:dyDescent="0.25">
      <c r="A7" s="17" t="s">
        <v>1566</v>
      </c>
      <c r="B7" s="8">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sqref="A1: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Attrition</vt:lpstr>
      <vt:lpstr>Attrition by Job</vt:lpstr>
      <vt:lpstr>Dept wise Attrition</vt:lpstr>
      <vt:lpstr>Attrition by age group</vt:lpstr>
      <vt:lpstr>Marital Status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Sanjay Sanjay</cp:lastModifiedBy>
  <dcterms:created xsi:type="dcterms:W3CDTF">2022-12-29T16:02:46Z</dcterms:created>
  <dcterms:modified xsi:type="dcterms:W3CDTF">2026-08-21T15:02:39Z</dcterms:modified>
</cp:coreProperties>
</file>